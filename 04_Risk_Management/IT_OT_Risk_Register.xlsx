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48" customWidth="1" min="3" max="3"/>
    <col width="25" customWidth="1" min="4" max="4"/>
    <col width="14" customWidth="1" min="5" max="5"/>
    <col width="29" customWidth="1" min="6" max="6"/>
    <col width="25" customWidth="1" min="7" max="7"/>
    <col width="23" customWidth="1" min="8" max="8"/>
    <col width="48" customWidth="1" min="9" max="9"/>
    <col width="48" customWidth="1" min="10" max="10"/>
    <col width="25" customWidth="1" min="11" max="11"/>
    <col width="29" customWidth="1" min="12" max="12"/>
    <col width="25" customWidth="1" min="13" max="13"/>
    <col width="23" customWidth="1" min="14" max="14"/>
    <col width="48" customWidth="1" min="15" max="15"/>
    <col width="22" customWidth="1" min="16" max="16"/>
    <col width="48" customWidth="1" min="17" max="17"/>
    <col width="32" customWidth="1" min="18" max="18"/>
    <col width="48" customWidth="1" min="19" max="19"/>
    <col width="19" customWidth="1" min="20" max="20"/>
    <col width="32" customWidth="1" min="21" max="21"/>
    <col width="24" customWidth="1" min="22" max="22"/>
  </cols>
  <sheetData>
    <row r="1" ht="28" customHeight="1">
      <c r="A1" s="1" t="inlineStr">
        <is>
          <t>IndusMach Industries - Master IT/OT Risk Register (40 Risks)</t>
        </is>
      </c>
    </row>
    <row r="2"/>
    <row r="3" ht="26" customHeight="1">
      <c r="A3" s="2" t="inlineStr">
        <is>
          <t>Risk ID</t>
        </is>
      </c>
      <c r="B3" s="2" t="inlineStr">
        <is>
          <t>Risk Category</t>
        </is>
      </c>
      <c r="C3" s="2" t="inlineStr">
        <is>
          <t>Risk Title &amp; Description</t>
        </is>
      </c>
      <c r="D3" s="2" t="inlineStr">
        <is>
          <t>Affected IT/OT Domain</t>
        </is>
      </c>
      <c r="E3" s="2" t="inlineStr">
        <is>
          <t>Factory ID</t>
        </is>
      </c>
      <c r="F3" s="2" t="inlineStr">
        <is>
          <t>Inherent Likelihood (1-5)</t>
        </is>
      </c>
      <c r="G3" s="2" t="inlineStr">
        <is>
          <t>Inherent Impact (1-5)</t>
        </is>
      </c>
      <c r="H3" s="2" t="inlineStr">
        <is>
          <t>Inherent Risk Score</t>
        </is>
      </c>
      <c r="I3" s="2" t="inlineStr">
        <is>
          <t>Inherent Risk Rating</t>
        </is>
      </c>
      <c r="J3" s="2" t="inlineStr">
        <is>
          <t>Existing Controls</t>
        </is>
      </c>
      <c r="K3" s="2" t="inlineStr">
        <is>
          <t>Control Effectiveness</t>
        </is>
      </c>
      <c r="L3" s="2" t="inlineStr">
        <is>
          <t>Residual Likelihood (1-5)</t>
        </is>
      </c>
      <c r="M3" s="2" t="inlineStr">
        <is>
          <t>Residual Impact (1-5)</t>
        </is>
      </c>
      <c r="N3" s="2" t="inlineStr">
        <is>
          <t>Residual Risk Score</t>
        </is>
      </c>
      <c r="O3" s="2" t="inlineStr">
        <is>
          <t>Residual Risk Rating</t>
        </is>
      </c>
      <c r="P3" s="2" t="inlineStr">
        <is>
          <t>Risk Treatment</t>
        </is>
      </c>
      <c r="Q3" s="2" t="inlineStr">
        <is>
          <t>Treatment Rationale</t>
        </is>
      </c>
      <c r="R3" s="2" t="inlineStr">
        <is>
          <t>Risk Owner</t>
        </is>
      </c>
      <c r="S3" s="2" t="inlineStr">
        <is>
          <t>Action Plan</t>
        </is>
      </c>
      <c r="T3" s="2" t="inlineStr">
        <is>
          <t>Target Due Date</t>
        </is>
      </c>
      <c r="U3" s="2" t="inlineStr">
        <is>
          <t>Approval Status</t>
        </is>
      </c>
      <c r="V3" s="2" t="inlineStr">
        <is>
          <t>Monitoring Frequency</t>
        </is>
      </c>
    </row>
    <row r="4" ht="20" customHeight="1">
      <c r="A4" s="3" t="inlineStr">
        <is>
          <t>RSK-IT-001</t>
        </is>
      </c>
      <c r="B4" s="3" t="inlineStr">
        <is>
          <t>Enterprise IT Cyber Risk</t>
        </is>
      </c>
      <c r="C4" s="3" t="inlineStr">
        <is>
          <t>Enterprise Ransomware Propagation via Active Directory</t>
        </is>
      </c>
      <c r="D4" s="3" t="inlineStr">
        <is>
          <t>Corporate IT Network</t>
        </is>
      </c>
      <c r="E4" s="3" t="inlineStr">
        <is>
          <t>FAC-PUN</t>
        </is>
      </c>
      <c r="F4" s="4" t="n">
        <v>4</v>
      </c>
      <c r="G4" s="4" t="n">
        <v>5</v>
      </c>
      <c r="H4" s="5">
        <f>F2*G2</f>
        <v/>
      </c>
      <c r="I4" s="5">
        <f>IF(H2&gt;=17,"Critical",IF(H2&gt;=10,"High",IF(H2&gt;=5,"Medium","Low")))</f>
        <v/>
      </c>
      <c r="J4" s="3" t="inlineStr">
        <is>
          <t>EDR on corporate endpoints, email gateway filtering</t>
        </is>
      </c>
      <c r="K4" s="3" t="inlineStr">
        <is>
          <t>Adequate</t>
        </is>
      </c>
      <c r="L4" s="4" t="n">
        <v>2</v>
      </c>
      <c r="M4" s="4" t="n">
        <v>4</v>
      </c>
      <c r="N4" s="5">
        <f>L2*M2</f>
        <v/>
      </c>
      <c r="O4" s="5">
        <f>IF(N2&gt;=17,"Critical",IF(N2&gt;=10,"High",IF(N2&gt;=5,"Medium","Low")))</f>
        <v/>
      </c>
      <c r="P4" s="3" t="inlineStr">
        <is>
          <t>Mitigate</t>
        </is>
      </c>
      <c r="Q4" s="3" t="inlineStr">
        <is>
          <t>Deploy Microsegmentation &amp; Immutable Backups</t>
        </is>
      </c>
      <c r="R4" s="3" t="inlineStr">
        <is>
          <t>IT Security Director</t>
        </is>
      </c>
      <c r="S4" s="3" t="inlineStr">
        <is>
          <t>Execute technical mitigation controls per baseline</t>
        </is>
      </c>
      <c r="T4" s="3" t="inlineStr">
        <is>
          <t>2026-09-30</t>
        </is>
      </c>
      <c r="U4" s="3" t="inlineStr">
        <is>
          <t>Approved by CISO</t>
        </is>
      </c>
      <c r="V4" s="3" t="inlineStr">
        <is>
          <t>Monthly</t>
        </is>
      </c>
    </row>
    <row r="5" ht="20" customHeight="1">
      <c r="A5" s="6" t="inlineStr">
        <is>
          <t>RSK-IT-002</t>
        </is>
      </c>
      <c r="B5" s="6" t="inlineStr">
        <is>
          <t>Enterprise IT Cyber Risk</t>
        </is>
      </c>
      <c r="C5" s="6" t="inlineStr">
        <is>
          <t>Unpatched ERP Server Vulnerability (SAP S/4HANA)</t>
        </is>
      </c>
      <c r="D5" s="6" t="inlineStr">
        <is>
          <t>Data Center</t>
        </is>
      </c>
      <c r="E5" s="6" t="inlineStr">
        <is>
          <t>FAC-NAG</t>
        </is>
      </c>
      <c r="F5" s="7" t="n">
        <v>4</v>
      </c>
      <c r="G5" s="7" t="n">
        <v>5</v>
      </c>
      <c r="H5" s="8">
        <f>F3*G3</f>
        <v/>
      </c>
      <c r="I5" s="8">
        <f>IF(H3&gt;=17,"Critical",IF(H3&gt;=10,"High",IF(H3&gt;=5,"Medium","Low")))</f>
        <v/>
      </c>
      <c r="J5" s="6" t="inlineStr">
        <is>
          <t>Quarterly patching, WAF</t>
        </is>
      </c>
      <c r="K5" s="6" t="inlineStr">
        <is>
          <t>Partial</t>
        </is>
      </c>
      <c r="L5" s="7" t="n">
        <v>2</v>
      </c>
      <c r="M5" s="7" t="n">
        <v>4</v>
      </c>
      <c r="N5" s="8">
        <f>L3*M3</f>
        <v/>
      </c>
      <c r="O5" s="8">
        <f>IF(N3&gt;=17,"Critical",IF(N3&gt;=10,"High",IF(N3&gt;=5,"Medium","Low")))</f>
        <v/>
      </c>
      <c r="P5" s="6" t="inlineStr">
        <is>
          <t>Mitigate</t>
        </is>
      </c>
      <c r="Q5" s="6" t="inlineStr">
        <is>
          <t>Patch during Q3 scheduled maintenance</t>
        </is>
      </c>
      <c r="R5" s="6" t="inlineStr">
        <is>
          <t>Enterprise App Lead</t>
        </is>
      </c>
      <c r="S5" s="6" t="inlineStr">
        <is>
          <t>Execute technical mitigation controls per baseline</t>
        </is>
      </c>
      <c r="T5" s="6" t="inlineStr">
        <is>
          <t>2026-08-31</t>
        </is>
      </c>
      <c r="U5" s="6" t="inlineStr">
        <is>
          <t>Approved by CISO</t>
        </is>
      </c>
      <c r="V5" s="6" t="inlineStr">
        <is>
          <t>Monthly</t>
        </is>
      </c>
    </row>
    <row r="6" ht="20" customHeight="1">
      <c r="A6" s="3" t="inlineStr">
        <is>
          <t>RSK-IT-003</t>
        </is>
      </c>
      <c r="B6" s="3" t="inlineStr">
        <is>
          <t>Enterprise IT Cyber Risk</t>
        </is>
      </c>
      <c r="C6" s="3" t="inlineStr">
        <is>
          <t>Credential Theft via Corporate Phishing Attack</t>
        </is>
      </c>
      <c r="D6" s="3" t="inlineStr">
        <is>
          <t>User Network</t>
        </is>
      </c>
      <c r="E6" s="3" t="inlineStr">
        <is>
          <t>FAC-CHE</t>
        </is>
      </c>
      <c r="F6" s="4" t="n">
        <v>5</v>
      </c>
      <c r="G6" s="4" t="n">
        <v>4</v>
      </c>
      <c r="H6" s="5">
        <f>F4*G4</f>
        <v/>
      </c>
      <c r="I6" s="5">
        <f>IF(H4&gt;=17,"Critical",IF(H4&gt;=10,"High",IF(H4&gt;=5,"Medium","Low")))</f>
        <v/>
      </c>
      <c r="J6" s="3" t="inlineStr">
        <is>
          <t>MFA on Microsoft 365, Phishing Simulations</t>
        </is>
      </c>
      <c r="K6" s="3" t="inlineStr">
        <is>
          <t>Strong</t>
        </is>
      </c>
      <c r="L6" s="4" t="n">
        <v>2</v>
      </c>
      <c r="M6" s="4" t="n">
        <v>3</v>
      </c>
      <c r="N6" s="5">
        <f>L4*M4</f>
        <v/>
      </c>
      <c r="O6" s="5">
        <f>IF(N4&gt;=17,"Critical",IF(N4&gt;=10,"High",IF(N4&gt;=5,"Medium","Low")))</f>
        <v/>
      </c>
      <c r="P6" s="3" t="inlineStr">
        <is>
          <t>Mitigate</t>
        </is>
      </c>
      <c r="Q6" s="3" t="inlineStr">
        <is>
          <t>Enforce FIDO2 hardware keys for IT admins</t>
        </is>
      </c>
      <c r="R6" s="3" t="inlineStr">
        <is>
          <t>IAM Operations Lead</t>
        </is>
      </c>
      <c r="S6" s="3" t="inlineStr">
        <is>
          <t>Execute technical mitigation controls per baseline</t>
        </is>
      </c>
      <c r="T6" s="3" t="inlineStr">
        <is>
          <t>2026-10-15</t>
        </is>
      </c>
      <c r="U6" s="3" t="inlineStr">
        <is>
          <t>Approved by CISO</t>
        </is>
      </c>
      <c r="V6" s="3" t="inlineStr">
        <is>
          <t>Monthly</t>
        </is>
      </c>
    </row>
    <row r="7" ht="20" customHeight="1">
      <c r="A7" s="6" t="inlineStr">
        <is>
          <t>RSK-IT-004</t>
        </is>
      </c>
      <c r="B7" s="6" t="inlineStr">
        <is>
          <t>Enterprise IT Cyber Risk</t>
        </is>
      </c>
      <c r="C7" s="6" t="inlineStr">
        <is>
          <t>Cloud S3 Storage Bucket Misconfiguration</t>
        </is>
      </c>
      <c r="D7" s="6" t="inlineStr">
        <is>
          <t>Cloud Services</t>
        </is>
      </c>
      <c r="E7" s="6" t="inlineStr">
        <is>
          <t>FAC-BLR</t>
        </is>
      </c>
      <c r="F7" s="7" t="n">
        <v>3</v>
      </c>
      <c r="G7" s="7" t="n">
        <v>4</v>
      </c>
      <c r="H7" s="8">
        <f>F5*G5</f>
        <v/>
      </c>
      <c r="I7" s="8">
        <f>IF(H5&gt;=17,"Critical",IF(H5&gt;=10,"High",IF(H5&gt;=5,"Medium","Low")))</f>
        <v/>
      </c>
      <c r="J7" s="6" t="inlineStr">
        <is>
          <t>AWS GuardDuty, Security Hub</t>
        </is>
      </c>
      <c r="K7" s="6" t="inlineStr">
        <is>
          <t>Adequate</t>
        </is>
      </c>
      <c r="L7" s="7" t="n">
        <v>1</v>
      </c>
      <c r="M7" s="7" t="n">
        <v>3</v>
      </c>
      <c r="N7" s="8">
        <f>L5*M5</f>
        <v/>
      </c>
      <c r="O7" s="8">
        <f>IF(N5&gt;=17,"Critical",IF(N5&gt;=10,"High",IF(N5&gt;=5,"Medium","Low")))</f>
        <v/>
      </c>
      <c r="P7" s="6" t="inlineStr">
        <is>
          <t>Mitigate</t>
        </is>
      </c>
      <c r="Q7" s="6" t="inlineStr">
        <is>
          <t>Implement automated IaC drift detection</t>
        </is>
      </c>
      <c r="R7" s="6" t="inlineStr">
        <is>
          <t>Cloud Infra Lead</t>
        </is>
      </c>
      <c r="S7" s="6" t="inlineStr">
        <is>
          <t>Execute technical mitigation controls per baseline</t>
        </is>
      </c>
      <c r="T7" s="6" t="inlineStr">
        <is>
          <t>2026-08-15</t>
        </is>
      </c>
      <c r="U7" s="6" t="inlineStr">
        <is>
          <t>Approved by CISO</t>
        </is>
      </c>
      <c r="V7" s="6" t="inlineStr">
        <is>
          <t>Monthly</t>
        </is>
      </c>
    </row>
    <row r="8" ht="20" customHeight="1">
      <c r="A8" s="3" t="inlineStr">
        <is>
          <t>RSK-IT-005</t>
        </is>
      </c>
      <c r="B8" s="3" t="inlineStr">
        <is>
          <t>Enterprise IT Cyber Risk</t>
        </is>
      </c>
      <c r="C8" s="3" t="inlineStr">
        <is>
          <t>Third-Party IT Service Provider Compromise</t>
        </is>
      </c>
      <c r="D8" s="3" t="inlineStr">
        <is>
          <t>Vendor Access</t>
        </is>
      </c>
      <c r="E8" s="3" t="inlineStr">
        <is>
          <t>FAC-AMD</t>
        </is>
      </c>
      <c r="F8" s="4" t="n">
        <v>4</v>
      </c>
      <c r="G8" s="4" t="n">
        <v>4</v>
      </c>
      <c r="H8" s="5">
        <f>F6*G6</f>
        <v/>
      </c>
      <c r="I8" s="5">
        <f>IF(H6&gt;=17,"Critical",IF(H6&gt;=10,"High",IF(H6&gt;=5,"Medium","Low")))</f>
        <v/>
      </c>
      <c r="J8" s="3" t="inlineStr">
        <is>
          <t>Third-party vendor risk assessments</t>
        </is>
      </c>
      <c r="K8" s="3" t="inlineStr">
        <is>
          <t>Partial</t>
        </is>
      </c>
      <c r="L8" s="4" t="n">
        <v>2</v>
      </c>
      <c r="M8" s="4" t="n">
        <v>3</v>
      </c>
      <c r="N8" s="5">
        <f>L6*M6</f>
        <v/>
      </c>
      <c r="O8" s="5">
        <f>IF(N6&gt;=17,"Critical",IF(N6&gt;=10,"High",IF(N6&gt;=5,"Medium","Low")))</f>
        <v/>
      </c>
      <c r="P8" s="3" t="inlineStr">
        <is>
          <t>Mitigate</t>
        </is>
      </c>
      <c r="Q8" s="3" t="inlineStr">
        <is>
          <t>Enforce PAM jump-host for all IT vendors</t>
        </is>
      </c>
      <c r="R8" s="3" t="inlineStr">
        <is>
          <t>TPRM Manager</t>
        </is>
      </c>
      <c r="S8" s="3" t="inlineStr">
        <is>
          <t>Execute technical mitigation controls per baseline</t>
        </is>
      </c>
      <c r="T8" s="3" t="inlineStr">
        <is>
          <t>2026-11-01</t>
        </is>
      </c>
      <c r="U8" s="3" t="inlineStr">
        <is>
          <t>Approved by CISO</t>
        </is>
      </c>
      <c r="V8" s="3" t="inlineStr">
        <is>
          <t>Monthly</t>
        </is>
      </c>
    </row>
    <row r="9" ht="20" customHeight="1">
      <c r="A9" s="6" t="inlineStr">
        <is>
          <t>RSK-IT-006</t>
        </is>
      </c>
      <c r="B9" s="6" t="inlineStr">
        <is>
          <t>Enterprise IT Cyber Risk</t>
        </is>
      </c>
      <c r="C9" s="6" t="inlineStr">
        <is>
          <t>Unsupported Legacy Windows Server 2008 in Corporate Finance</t>
        </is>
      </c>
      <c r="D9" s="6" t="inlineStr">
        <is>
          <t>Corporate IT</t>
        </is>
      </c>
      <c r="E9" s="6" t="inlineStr">
        <is>
          <t>FAC-HYD</t>
        </is>
      </c>
      <c r="F9" s="7" t="n">
        <v>5</v>
      </c>
      <c r="G9" s="7" t="n">
        <v>4</v>
      </c>
      <c r="H9" s="8">
        <f>F7*G7</f>
        <v/>
      </c>
      <c r="I9" s="8">
        <f>IF(H7&gt;=17,"Critical",IF(H7&gt;=10,"High",IF(H7&gt;=5,"Medium","Low")))</f>
        <v/>
      </c>
      <c r="J9" s="6" t="inlineStr">
        <is>
          <t>Network VLAN isolation</t>
        </is>
      </c>
      <c r="K9" s="6" t="inlineStr">
        <is>
          <t>Weak</t>
        </is>
      </c>
      <c r="L9" s="7" t="n">
        <v>3</v>
      </c>
      <c r="M9" s="7" t="n">
        <v>4</v>
      </c>
      <c r="N9" s="8">
        <f>L7*M7</f>
        <v/>
      </c>
      <c r="O9" s="8">
        <f>IF(N7&gt;=17,"Critical",IF(N7&gt;=10,"High",IF(N7&gt;=5,"Medium","Low")))</f>
        <v/>
      </c>
      <c r="P9" s="6" t="inlineStr">
        <is>
          <t>Mitigate</t>
        </is>
      </c>
      <c r="Q9" s="6" t="inlineStr">
        <is>
          <t>Migrate workload to Windows Server 2022</t>
        </is>
      </c>
      <c r="R9" s="6" t="inlineStr">
        <is>
          <t>IT Infrastructure Mgr</t>
        </is>
      </c>
      <c r="S9" s="6" t="inlineStr">
        <is>
          <t>Execute technical mitigation controls per baseline</t>
        </is>
      </c>
      <c r="T9" s="6" t="inlineStr">
        <is>
          <t>2026-12-31</t>
        </is>
      </c>
      <c r="U9" s="6" t="inlineStr">
        <is>
          <t>Approved by CISO</t>
        </is>
      </c>
      <c r="V9" s="6" t="inlineStr">
        <is>
          <t>Monthly</t>
        </is>
      </c>
    </row>
    <row r="10" ht="20" customHeight="1">
      <c r="A10" s="3" t="inlineStr">
        <is>
          <t>RSK-IT-007</t>
        </is>
      </c>
      <c r="B10" s="3" t="inlineStr">
        <is>
          <t>Enterprise IT Cyber Risk</t>
        </is>
      </c>
      <c r="C10" s="3" t="inlineStr">
        <is>
          <t>Unauthorized USB Data Exfiltration on Corporate Laptops</t>
        </is>
      </c>
      <c r="D10" s="3" t="inlineStr">
        <is>
          <t>Endpoints</t>
        </is>
      </c>
      <c r="E10" s="3" t="inlineStr">
        <is>
          <t>FAC-PUN</t>
        </is>
      </c>
      <c r="F10" s="4" t="n">
        <v>4</v>
      </c>
      <c r="G10" s="4" t="n">
        <v>3</v>
      </c>
      <c r="H10" s="5">
        <f>F8*G8</f>
        <v/>
      </c>
      <c r="I10" s="5">
        <f>IF(H8&gt;=17,"Critical",IF(H8&gt;=10,"High",IF(H8&gt;=5,"Medium","Low")))</f>
        <v/>
      </c>
      <c r="J10" s="3" t="inlineStr">
        <is>
          <t>Group Policy USB Block</t>
        </is>
      </c>
      <c r="K10" s="3" t="inlineStr">
        <is>
          <t>Adequate</t>
        </is>
      </c>
      <c r="L10" s="4" t="n">
        <v>2</v>
      </c>
      <c r="M10" s="4" t="n">
        <v>2</v>
      </c>
      <c r="N10" s="5">
        <f>L8*M8</f>
        <v/>
      </c>
      <c r="O10" s="5">
        <f>IF(N8&gt;=17,"Critical",IF(N8&gt;=10,"High",IF(N8&gt;=5,"Medium","Low")))</f>
        <v/>
      </c>
      <c r="P10" s="3" t="inlineStr">
        <is>
          <t>Mitigate</t>
        </is>
      </c>
      <c r="Q10" s="3" t="inlineStr">
        <is>
          <t>Deploy Endpoint DLP agent</t>
        </is>
      </c>
      <c r="R10" s="3" t="inlineStr">
        <is>
          <t>Security Operations Lead</t>
        </is>
      </c>
      <c r="S10" s="3" t="inlineStr">
        <is>
          <t>Execute technical mitigation controls per baseline</t>
        </is>
      </c>
      <c r="T10" s="3" t="inlineStr">
        <is>
          <t>2026-09-15</t>
        </is>
      </c>
      <c r="U10" s="3" t="inlineStr">
        <is>
          <t>Approved by CISO</t>
        </is>
      </c>
      <c r="V10" s="3" t="inlineStr">
        <is>
          <t>Monthly</t>
        </is>
      </c>
    </row>
    <row r="11" ht="20" customHeight="1">
      <c r="A11" s="6" t="inlineStr">
        <is>
          <t>RSK-IT-008</t>
        </is>
      </c>
      <c r="B11" s="6" t="inlineStr">
        <is>
          <t>Enterprise IT Cyber Risk</t>
        </is>
      </c>
      <c r="C11" s="6" t="inlineStr">
        <is>
          <t>Data Center Backup Encryption Failure</t>
        </is>
      </c>
      <c r="D11" s="6" t="inlineStr">
        <is>
          <t>Backup Systems</t>
        </is>
      </c>
      <c r="E11" s="6" t="inlineStr">
        <is>
          <t>FAC-NAG</t>
        </is>
      </c>
      <c r="F11" s="7" t="n">
        <v>3</v>
      </c>
      <c r="G11" s="7" t="n">
        <v>5</v>
      </c>
      <c r="H11" s="8">
        <f>F9*G9</f>
        <v/>
      </c>
      <c r="I11" s="8">
        <f>IF(H9&gt;=17,"Critical",IF(H9&gt;=10,"High",IF(H9&gt;=5,"Medium","Low")))</f>
        <v/>
      </c>
      <c r="J11" s="6" t="inlineStr">
        <is>
          <t>Veeam nightly backups</t>
        </is>
      </c>
      <c r="K11" s="6" t="inlineStr">
        <is>
          <t>Partial</t>
        </is>
      </c>
      <c r="L11" s="7" t="n">
        <v>1</v>
      </c>
      <c r="M11" s="7" t="n">
        <v>4</v>
      </c>
      <c r="N11" s="8">
        <f>L9*M9</f>
        <v/>
      </c>
      <c r="O11" s="8">
        <f>IF(N9&gt;=17,"Critical",IF(N9&gt;=10,"High",IF(N9&gt;=5,"Medium","Low")))</f>
        <v/>
      </c>
      <c r="P11" s="6" t="inlineStr">
        <is>
          <t>Mitigate</t>
        </is>
      </c>
      <c r="Q11" s="6" t="inlineStr">
        <is>
          <t>Enable AES-256 backup repository encryption</t>
        </is>
      </c>
      <c r="R11" s="6" t="inlineStr">
        <is>
          <t>Backup Administrator</t>
        </is>
      </c>
      <c r="S11" s="6" t="inlineStr">
        <is>
          <t>Execute technical mitigation controls per baseline</t>
        </is>
      </c>
      <c r="T11" s="6" t="inlineStr">
        <is>
          <t>2026-08-20</t>
        </is>
      </c>
      <c r="U11" s="6" t="inlineStr">
        <is>
          <t>Approved by CISO</t>
        </is>
      </c>
      <c r="V11" s="6" t="inlineStr">
        <is>
          <t>Monthly</t>
        </is>
      </c>
    </row>
    <row r="12" ht="20" customHeight="1">
      <c r="A12" s="3" t="inlineStr">
        <is>
          <t>RSK-IT-009</t>
        </is>
      </c>
      <c r="B12" s="3" t="inlineStr">
        <is>
          <t>Enterprise IT Cyber Risk</t>
        </is>
      </c>
      <c r="C12" s="3" t="inlineStr">
        <is>
          <t>Shadow IT Cloud Application Usage</t>
        </is>
      </c>
      <c r="D12" s="3" t="inlineStr">
        <is>
          <t>Corporate IT</t>
        </is>
      </c>
      <c r="E12" s="3" t="inlineStr">
        <is>
          <t>FAC-CHE</t>
        </is>
      </c>
      <c r="F12" s="4" t="n">
        <v>4</v>
      </c>
      <c r="G12" s="4" t="n">
        <v>3</v>
      </c>
      <c r="H12" s="5">
        <f>F10*G10</f>
        <v/>
      </c>
      <c r="I12" s="5">
        <f>IF(H10&gt;=17,"Critical",IF(H10&gt;=10,"High",IF(H10&gt;=5,"Medium","Low")))</f>
        <v/>
      </c>
      <c r="J12" s="3" t="inlineStr">
        <is>
          <t>CASB monitoring</t>
        </is>
      </c>
      <c r="K12" s="3" t="inlineStr">
        <is>
          <t>Partial</t>
        </is>
      </c>
      <c r="L12" s="4" t="n">
        <v>2</v>
      </c>
      <c r="M12" s="4" t="n">
        <v>2</v>
      </c>
      <c r="N12" s="5">
        <f>L10*M10</f>
        <v/>
      </c>
      <c r="O12" s="5">
        <f>IF(N10&gt;=17,"Critical",IF(N10&gt;=10,"High",IF(N10&gt;=5,"Medium","Low")))</f>
        <v/>
      </c>
      <c r="P12" s="3" t="inlineStr">
        <is>
          <t>Mitigate</t>
        </is>
      </c>
      <c r="Q12" s="3" t="inlineStr">
        <is>
          <t>Enforce DNS-based Web filtering &amp; CASB block</t>
        </is>
      </c>
      <c r="R12" s="3" t="inlineStr">
        <is>
          <t>SecOps Lead</t>
        </is>
      </c>
      <c r="S12" s="3" t="inlineStr">
        <is>
          <t>Execute technical mitigation controls per baseline</t>
        </is>
      </c>
      <c r="T12" s="3" t="inlineStr">
        <is>
          <t>2026-10-30</t>
        </is>
      </c>
      <c r="U12" s="3" t="inlineStr">
        <is>
          <t>Approved by CISO</t>
        </is>
      </c>
      <c r="V12" s="3" t="inlineStr">
        <is>
          <t>Monthly</t>
        </is>
      </c>
    </row>
    <row r="13" ht="20" customHeight="1">
      <c r="A13" s="6" t="inlineStr">
        <is>
          <t>RSK-IT-010</t>
        </is>
      </c>
      <c r="B13" s="6" t="inlineStr">
        <is>
          <t>Enterprise IT Cyber Risk</t>
        </is>
      </c>
      <c r="C13" s="6" t="inlineStr">
        <is>
          <t>Privileged Account Password Reuse across Corporate IT</t>
        </is>
      </c>
      <c r="D13" s="6" t="inlineStr">
        <is>
          <t>Identity Services</t>
        </is>
      </c>
      <c r="E13" s="6" t="inlineStr">
        <is>
          <t>FAC-BLR</t>
        </is>
      </c>
      <c r="F13" s="7" t="n">
        <v>4</v>
      </c>
      <c r="G13" s="7" t="n">
        <v>4</v>
      </c>
      <c r="H13" s="8">
        <f>F11*G11</f>
        <v/>
      </c>
      <c r="I13" s="8">
        <f>IF(H11&gt;=17,"Critical",IF(H11&gt;=10,"High",IF(H11&gt;=5,"Medium","Low")))</f>
        <v/>
      </c>
      <c r="J13" s="6" t="inlineStr">
        <is>
          <t>CyberArk PAM deployment in progress</t>
        </is>
      </c>
      <c r="K13" s="6" t="inlineStr">
        <is>
          <t>Partial</t>
        </is>
      </c>
      <c r="L13" s="7" t="n">
        <v>2</v>
      </c>
      <c r="M13" s="7" t="n">
        <v>3</v>
      </c>
      <c r="N13" s="8">
        <f>L11*M11</f>
        <v/>
      </c>
      <c r="O13" s="8">
        <f>IF(N11&gt;=17,"Critical",IF(N11&gt;=10,"High",IF(N11&gt;=5,"Medium","Low")))</f>
        <v/>
      </c>
      <c r="P13" s="6" t="inlineStr">
        <is>
          <t>Mitigate</t>
        </is>
      </c>
      <c r="Q13" s="6" t="inlineStr">
        <is>
          <t>Rotate all domain admin passwords via PAM</t>
        </is>
      </c>
      <c r="R13" s="6" t="inlineStr">
        <is>
          <t>IAM Operations Lead</t>
        </is>
      </c>
      <c r="S13" s="6" t="inlineStr">
        <is>
          <t>Execute technical mitigation controls per baseline</t>
        </is>
      </c>
      <c r="T13" s="6" t="inlineStr">
        <is>
          <t>2026-09-01</t>
        </is>
      </c>
      <c r="U13" s="6" t="inlineStr">
        <is>
          <t>Approved by CISO</t>
        </is>
      </c>
      <c r="V13" s="6" t="inlineStr">
        <is>
          <t>Monthly</t>
        </is>
      </c>
    </row>
    <row r="14" ht="20" customHeight="1">
      <c r="A14" s="3" t="inlineStr">
        <is>
          <t>RSK-IT-011</t>
        </is>
      </c>
      <c r="B14" s="3" t="inlineStr">
        <is>
          <t>Enterprise IT Cyber Risk</t>
        </is>
      </c>
      <c r="C14" s="3" t="inlineStr">
        <is>
          <t>Corporate VPN Concentrator Remote Exploit Vulnerability</t>
        </is>
      </c>
      <c r="D14" s="3" t="inlineStr">
        <is>
          <t>Perimeter Security</t>
        </is>
      </c>
      <c r="E14" s="3" t="inlineStr">
        <is>
          <t>FAC-AMD</t>
        </is>
      </c>
      <c r="F14" s="4" t="n">
        <v>4</v>
      </c>
      <c r="G14" s="4" t="n">
        <v>5</v>
      </c>
      <c r="H14" s="5">
        <f>F12*G12</f>
        <v/>
      </c>
      <c r="I14" s="5">
        <f>IF(H12&gt;=17,"Critical",IF(H12&gt;=10,"High",IF(H12&gt;=5,"Medium","Low")))</f>
        <v/>
      </c>
      <c r="J14" s="3" t="inlineStr">
        <is>
          <t>Perimeter IPS</t>
        </is>
      </c>
      <c r="K14" s="3" t="inlineStr">
        <is>
          <t>Partial</t>
        </is>
      </c>
      <c r="L14" s="4" t="n">
        <v>2</v>
      </c>
      <c r="M14" s="4" t="n">
        <v>3</v>
      </c>
      <c r="N14" s="5">
        <f>L12*M12</f>
        <v/>
      </c>
      <c r="O14" s="5">
        <f>IF(N12&gt;=17,"Critical",IF(N12&gt;=10,"High",IF(N12&gt;=5,"Medium","Low")))</f>
        <v/>
      </c>
      <c r="P14" s="3" t="inlineStr">
        <is>
          <t>Mitigate</t>
        </is>
      </c>
      <c r="Q14" s="3" t="inlineStr">
        <is>
          <t>Emergency zero-day patch application</t>
        </is>
      </c>
      <c r="R14" s="3" t="inlineStr">
        <is>
          <t>Network Security Lead</t>
        </is>
      </c>
      <c r="S14" s="3" t="inlineStr">
        <is>
          <t>Execute technical mitigation controls per baseline</t>
        </is>
      </c>
      <c r="T14" s="3" t="inlineStr">
        <is>
          <t>2026-08-10</t>
        </is>
      </c>
      <c r="U14" s="3" t="inlineStr">
        <is>
          <t>Approved by CISO</t>
        </is>
      </c>
      <c r="V14" s="3" t="inlineStr">
        <is>
          <t>Monthly</t>
        </is>
      </c>
    </row>
    <row r="15" ht="20" customHeight="1">
      <c r="A15" s="6" t="inlineStr">
        <is>
          <t>RSK-IT-012</t>
        </is>
      </c>
      <c r="B15" s="6" t="inlineStr">
        <is>
          <t>Enterprise IT Cyber Risk</t>
        </is>
      </c>
      <c r="C15" s="6" t="inlineStr">
        <is>
          <t>Inadequate IT Incident Response Logging Retention</t>
        </is>
      </c>
      <c r="D15" s="6" t="inlineStr">
        <is>
          <t>Security Operations</t>
        </is>
      </c>
      <c r="E15" s="6" t="inlineStr">
        <is>
          <t>FAC-HYD</t>
        </is>
      </c>
      <c r="F15" s="7" t="n">
        <v>3</v>
      </c>
      <c r="G15" s="7" t="n">
        <v>4</v>
      </c>
      <c r="H15" s="8">
        <f>F13*G13</f>
        <v/>
      </c>
      <c r="I15" s="8">
        <f>IF(H13&gt;=17,"Critical",IF(H13&gt;=10,"High",IF(H13&gt;=5,"Medium","Low")))</f>
        <v/>
      </c>
      <c r="J15" s="6" t="inlineStr">
        <is>
          <t>Splunk SIEM 30-day retention</t>
        </is>
      </c>
      <c r="K15" s="6" t="inlineStr">
        <is>
          <t>Weak</t>
        </is>
      </c>
      <c r="L15" s="7" t="n">
        <v>2</v>
      </c>
      <c r="M15" s="7" t="n">
        <v>3</v>
      </c>
      <c r="N15" s="8">
        <f>L13*M13</f>
        <v/>
      </c>
      <c r="O15" s="8">
        <f>IF(N13&gt;=17,"Critical",IF(N13&gt;=10,"High",IF(N13&gt;=5,"Medium","Low")))</f>
        <v/>
      </c>
      <c r="P15" s="6" t="inlineStr">
        <is>
          <t>Mitigate</t>
        </is>
      </c>
      <c r="Q15" s="6" t="inlineStr">
        <is>
          <t>Expand SIEM cold storage to 365 days</t>
        </is>
      </c>
      <c r="R15" s="6" t="inlineStr">
        <is>
          <t>SIEM Architect</t>
        </is>
      </c>
      <c r="S15" s="6" t="inlineStr">
        <is>
          <t>Execute technical mitigation controls per baseline</t>
        </is>
      </c>
      <c r="T15" s="6" t="inlineStr">
        <is>
          <t>2026-11-15</t>
        </is>
      </c>
      <c r="U15" s="6" t="inlineStr">
        <is>
          <t>Approved by CISO</t>
        </is>
      </c>
      <c r="V15" s="6" t="inlineStr">
        <is>
          <t>Monthly</t>
        </is>
      </c>
    </row>
    <row r="16" ht="20" customHeight="1">
      <c r="A16" s="3" t="inlineStr">
        <is>
          <t>RSK-IT-013</t>
        </is>
      </c>
      <c r="B16" s="3" t="inlineStr">
        <is>
          <t>Enterprise IT Cyber Risk</t>
        </is>
      </c>
      <c r="C16" s="3" t="inlineStr">
        <is>
          <t>Insider Threat Data Exfiltration by Departing Employee</t>
        </is>
      </c>
      <c r="D16" s="3" t="inlineStr">
        <is>
          <t>Corporate IT</t>
        </is>
      </c>
      <c r="E16" s="3" t="inlineStr">
        <is>
          <t>FAC-PUN</t>
        </is>
      </c>
      <c r="F16" s="4" t="n">
        <v>3</v>
      </c>
      <c r="G16" s="4" t="n">
        <v>4</v>
      </c>
      <c r="H16" s="5">
        <f>F14*G14</f>
        <v/>
      </c>
      <c r="I16" s="5">
        <f>IF(H14&gt;=17,"Critical",IF(H14&gt;=10,"High",IF(H14&gt;=5,"Medium","Low")))</f>
        <v/>
      </c>
      <c r="J16" s="3" t="inlineStr">
        <is>
          <t>HR exit notification process</t>
        </is>
      </c>
      <c r="K16" s="3" t="inlineStr">
        <is>
          <t>Partial</t>
        </is>
      </c>
      <c r="L16" s="4" t="n">
        <v>2</v>
      </c>
      <c r="M16" s="4" t="n">
        <v>2</v>
      </c>
      <c r="N16" s="5">
        <f>L14*M14</f>
        <v/>
      </c>
      <c r="O16" s="5">
        <f>IF(N14&gt;=17,"Critical",IF(N14&gt;=10,"High",IF(N14&gt;=5,"Medium","Low")))</f>
        <v/>
      </c>
      <c r="P16" s="3" t="inlineStr">
        <is>
          <t>Mitigate</t>
        </is>
      </c>
      <c r="Q16" s="3" t="inlineStr">
        <is>
          <t>Automate AD account disablement on HR exit</t>
        </is>
      </c>
      <c r="R16" s="3" t="inlineStr">
        <is>
          <t>IAM Operations Lead</t>
        </is>
      </c>
      <c r="S16" s="3" t="inlineStr">
        <is>
          <t>Execute technical mitigation controls per baseline</t>
        </is>
      </c>
      <c r="T16" s="3" t="inlineStr">
        <is>
          <t>2026-09-30</t>
        </is>
      </c>
      <c r="U16" s="3" t="inlineStr">
        <is>
          <t>Approved by CISO</t>
        </is>
      </c>
      <c r="V16" s="3" t="inlineStr">
        <is>
          <t>Monthly</t>
        </is>
      </c>
    </row>
    <row r="17" ht="20" customHeight="1">
      <c r="A17" s="6" t="inlineStr">
        <is>
          <t>RSK-IT-014</t>
        </is>
      </c>
      <c r="B17" s="6" t="inlineStr">
        <is>
          <t>Enterprise IT Cyber Risk</t>
        </is>
      </c>
      <c r="C17" s="6" t="inlineStr">
        <is>
          <t>Unencrypted Laptop Hard Drive Loss</t>
        </is>
      </c>
      <c r="D17" s="6" t="inlineStr">
        <is>
          <t>Endpoints</t>
        </is>
      </c>
      <c r="E17" s="6" t="inlineStr">
        <is>
          <t>FAC-NAG</t>
        </is>
      </c>
      <c r="F17" s="7" t="n">
        <v>3</v>
      </c>
      <c r="G17" s="7" t="n">
        <v>3</v>
      </c>
      <c r="H17" s="8">
        <f>F15*G15</f>
        <v/>
      </c>
      <c r="I17" s="8">
        <f>IF(H15&gt;=17,"Critical",IF(H15&gt;=10,"High",IF(H15&gt;=5,"Medium","Low")))</f>
        <v/>
      </c>
      <c r="J17" s="6" t="inlineStr">
        <is>
          <t>BitLocker GPO enforcement</t>
        </is>
      </c>
      <c r="K17" s="6" t="inlineStr">
        <is>
          <t>Strong</t>
        </is>
      </c>
      <c r="L17" s="7" t="n">
        <v>1</v>
      </c>
      <c r="M17" s="7" t="n">
        <v>2</v>
      </c>
      <c r="N17" s="8">
        <f>L15*M15</f>
        <v/>
      </c>
      <c r="O17" s="8">
        <f>IF(N15&gt;=17,"Critical",IF(N15&gt;=10,"High",IF(N15&gt;=5,"Medium","Low")))</f>
        <v/>
      </c>
      <c r="P17" s="6" t="inlineStr">
        <is>
          <t>Mitigate</t>
        </is>
      </c>
      <c r="Q17" s="6" t="inlineStr">
        <is>
          <t>Audit BitLocker compliance dashboard weekly</t>
        </is>
      </c>
      <c r="R17" s="6" t="inlineStr">
        <is>
          <t>Desktop Support Lead</t>
        </is>
      </c>
      <c r="S17" s="6" t="inlineStr">
        <is>
          <t>Execute technical mitigation controls per baseline</t>
        </is>
      </c>
      <c r="T17" s="6" t="inlineStr">
        <is>
          <t>2026-08-30</t>
        </is>
      </c>
      <c r="U17" s="6" t="inlineStr">
        <is>
          <t>Approved by CISO</t>
        </is>
      </c>
      <c r="V17" s="6" t="inlineStr">
        <is>
          <t>Monthly</t>
        </is>
      </c>
    </row>
    <row r="18" ht="20" customHeight="1">
      <c r="A18" s="3" t="inlineStr">
        <is>
          <t>RSK-IT-015</t>
        </is>
      </c>
      <c r="B18" s="3" t="inlineStr">
        <is>
          <t>Enterprise IT Cyber Risk</t>
        </is>
      </c>
      <c r="C18" s="3" t="inlineStr">
        <is>
          <t>Domain Name System (DNS) Hijacking / Cache Poisoning</t>
        </is>
      </c>
      <c r="D18" s="3" t="inlineStr">
        <is>
          <t>Perimeter Security</t>
        </is>
      </c>
      <c r="E18" s="3" t="inlineStr">
        <is>
          <t>FAC-CHE</t>
        </is>
      </c>
      <c r="F18" s="4" t="n">
        <v>2</v>
      </c>
      <c r="G18" s="4" t="n">
        <v>4</v>
      </c>
      <c r="H18" s="5">
        <f>F16*G16</f>
        <v/>
      </c>
      <c r="I18" s="5">
        <f>IF(H16&gt;=17,"Critical",IF(H16&gt;=10,"High",IF(H16&gt;=5,"Medium","Low")))</f>
        <v/>
      </c>
      <c r="J18" s="3" t="inlineStr">
        <is>
          <t>External DNS monitoring</t>
        </is>
      </c>
      <c r="K18" s="3" t="inlineStr">
        <is>
          <t>Adequate</t>
        </is>
      </c>
      <c r="L18" s="4" t="n">
        <v>1</v>
      </c>
      <c r="M18" s="4" t="n">
        <v>3</v>
      </c>
      <c r="N18" s="5">
        <f>L16*M16</f>
        <v/>
      </c>
      <c r="O18" s="5">
        <f>IF(N16&gt;=17,"Critical",IF(N16&gt;=10,"High",IF(N16&gt;=5,"Medium","Low")))</f>
        <v/>
      </c>
      <c r="P18" s="3" t="inlineStr">
        <is>
          <t>Mitigate</t>
        </is>
      </c>
      <c r="Q18" s="3" t="inlineStr">
        <is>
          <t>Implement DNSSEC on corporate domain registrar</t>
        </is>
      </c>
      <c r="R18" s="3" t="inlineStr">
        <is>
          <t>Network Admin</t>
        </is>
      </c>
      <c r="S18" s="3" t="inlineStr">
        <is>
          <t>Execute technical mitigation controls per baseline</t>
        </is>
      </c>
      <c r="T18" s="3" t="inlineStr">
        <is>
          <t>2026-12-15</t>
        </is>
      </c>
      <c r="U18" s="3" t="inlineStr">
        <is>
          <t>Approved by CISO</t>
        </is>
      </c>
      <c r="V18" s="3" t="inlineStr">
        <is>
          <t>Monthly</t>
        </is>
      </c>
    </row>
    <row r="19" ht="20" customHeight="1">
      <c r="A19" s="6" t="inlineStr">
        <is>
          <t>RSK-IT-016</t>
        </is>
      </c>
      <c r="B19" s="6" t="inlineStr">
        <is>
          <t>Enterprise IT Cyber Risk</t>
        </is>
      </c>
      <c r="C19" s="6" t="inlineStr">
        <is>
          <t>Corporate Email Spoofing &amp; BEC Attacks</t>
        </is>
      </c>
      <c r="D19" s="6" t="inlineStr">
        <is>
          <t>User Network</t>
        </is>
      </c>
      <c r="E19" s="6" t="inlineStr">
        <is>
          <t>FAC-BLR</t>
        </is>
      </c>
      <c r="F19" s="7" t="n">
        <v>4</v>
      </c>
      <c r="G19" s="7" t="n">
        <v>4</v>
      </c>
      <c r="H19" s="8">
        <f>F17*G17</f>
        <v/>
      </c>
      <c r="I19" s="8">
        <f>IF(H17&gt;=17,"Critical",IF(H17&gt;=10,"High",IF(H17&gt;=5,"Medium","Low")))</f>
        <v/>
      </c>
      <c r="J19" s="6" t="inlineStr">
        <is>
          <t>DMARC p=reject, SPF, DKIM</t>
        </is>
      </c>
      <c r="K19" s="6" t="inlineStr">
        <is>
          <t>Strong</t>
        </is>
      </c>
      <c r="L19" s="7" t="n">
        <v>2</v>
      </c>
      <c r="M19" s="7" t="n">
        <v>2</v>
      </c>
      <c r="N19" s="8">
        <f>L17*M17</f>
        <v/>
      </c>
      <c r="O19" s="8">
        <f>IF(N17&gt;=17,"Critical",IF(N17&gt;=10,"High",IF(N17&gt;=5,"Medium","Low")))</f>
        <v/>
      </c>
      <c r="P19" s="6" t="inlineStr">
        <is>
          <t>Mitigate</t>
        </is>
      </c>
      <c r="Q19" s="6" t="inlineStr">
        <is>
          <t>Tune email gateway AI phishing filters</t>
        </is>
      </c>
      <c r="R19" s="6" t="inlineStr">
        <is>
          <t>SecOps Architect</t>
        </is>
      </c>
      <c r="S19" s="6" t="inlineStr">
        <is>
          <t>Execute technical mitigation controls per baseline</t>
        </is>
      </c>
      <c r="T19" s="6" t="inlineStr">
        <is>
          <t>2026-09-10</t>
        </is>
      </c>
      <c r="U19" s="6" t="inlineStr">
        <is>
          <t>Approved by CISO</t>
        </is>
      </c>
      <c r="V19" s="6" t="inlineStr">
        <is>
          <t>Monthly</t>
        </is>
      </c>
    </row>
    <row r="20" ht="20" customHeight="1">
      <c r="A20" s="3" t="inlineStr">
        <is>
          <t>RSK-IT-017</t>
        </is>
      </c>
      <c r="B20" s="3" t="inlineStr">
        <is>
          <t>Enterprise IT Cyber Risk</t>
        </is>
      </c>
      <c r="C20" s="3" t="inlineStr">
        <is>
          <t>Unrestricted IT Developer Access to Production Databases</t>
        </is>
      </c>
      <c r="D20" s="3" t="inlineStr">
        <is>
          <t>Data Center</t>
        </is>
      </c>
      <c r="E20" s="3" t="inlineStr">
        <is>
          <t>FAC-AMD</t>
        </is>
      </c>
      <c r="F20" s="4" t="n">
        <v>4</v>
      </c>
      <c r="G20" s="4" t="n">
        <v>4</v>
      </c>
      <c r="H20" s="5">
        <f>F18*G18</f>
        <v/>
      </c>
      <c r="I20" s="5">
        <f>IF(H18&gt;=17,"Critical",IF(H18&gt;=10,"High",IF(H18&gt;=5,"Medium","Low")))</f>
        <v/>
      </c>
      <c r="J20" s="3" t="inlineStr">
        <is>
          <t>Database access controls</t>
        </is>
      </c>
      <c r="K20" s="3" t="inlineStr">
        <is>
          <t>Partial</t>
        </is>
      </c>
      <c r="L20" s="4" t="n">
        <v>2</v>
      </c>
      <c r="M20" s="4" t="n">
        <v>2</v>
      </c>
      <c r="N20" s="5">
        <f>L18*M18</f>
        <v/>
      </c>
      <c r="O20" s="5">
        <f>IF(N18&gt;=17,"Critical",IF(N18&gt;=10,"High",IF(N18&gt;=5,"Medium","Low")))</f>
        <v/>
      </c>
      <c r="P20" s="3" t="inlineStr">
        <is>
          <t>Mitigate</t>
        </is>
      </c>
      <c r="Q20" s="3" t="inlineStr">
        <is>
          <t>Enforce DB PAM and temporary just-in-time access</t>
        </is>
      </c>
      <c r="R20" s="3" t="inlineStr">
        <is>
          <t>Database Lead</t>
        </is>
      </c>
      <c r="S20" s="3" t="inlineStr">
        <is>
          <t>Execute technical mitigation controls per baseline</t>
        </is>
      </c>
      <c r="T20" s="3" t="inlineStr">
        <is>
          <t>2026-10-01</t>
        </is>
      </c>
      <c r="U20" s="3" t="inlineStr">
        <is>
          <t>Approved by CISO</t>
        </is>
      </c>
      <c r="V20" s="3" t="inlineStr">
        <is>
          <t>Monthly</t>
        </is>
      </c>
    </row>
    <row r="21" ht="20" customHeight="1">
      <c r="A21" s="6" t="inlineStr">
        <is>
          <t>RSK-IT-018</t>
        </is>
      </c>
      <c r="B21" s="6" t="inlineStr">
        <is>
          <t>Enterprise IT Cyber Risk</t>
        </is>
      </c>
      <c r="C21" s="6" t="inlineStr">
        <is>
          <t>Lacks Disaster Recovery Secondary Site for Corporate ERP</t>
        </is>
      </c>
      <c r="D21" s="6" t="inlineStr">
        <is>
          <t>Disaster Recovery</t>
        </is>
      </c>
      <c r="E21" s="6" t="inlineStr">
        <is>
          <t>FAC-HYD</t>
        </is>
      </c>
      <c r="F21" s="7" t="n">
        <v>3</v>
      </c>
      <c r="G21" s="7" t="n">
        <v>5</v>
      </c>
      <c r="H21" s="8">
        <f>F19*G19</f>
        <v/>
      </c>
      <c r="I21" s="8">
        <f>IF(H19&gt;=17,"Critical",IF(H19&gt;=10,"High",IF(H19&gt;=5,"Medium","Low")))</f>
        <v/>
      </c>
      <c r="J21" s="6" t="inlineStr">
        <is>
          <t>Nightly offsite snapshot</t>
        </is>
      </c>
      <c r="K21" s="6" t="inlineStr">
        <is>
          <t>Partial</t>
        </is>
      </c>
      <c r="L21" s="7" t="n">
        <v>2</v>
      </c>
      <c r="M21" s="7" t="n">
        <v>3</v>
      </c>
      <c r="N21" s="8">
        <f>L19*M19</f>
        <v/>
      </c>
      <c r="O21" s="8">
        <f>IF(N19&gt;=17,"Critical",IF(N19&gt;=10,"High",IF(N19&gt;=5,"Medium","Low")))</f>
        <v/>
      </c>
      <c r="P21" s="6" t="inlineStr">
        <is>
          <t>Mitigate</t>
        </is>
      </c>
      <c r="Q21" s="6" t="inlineStr">
        <is>
          <t>Provision AWS Cloud DR secondary region</t>
        </is>
      </c>
      <c r="R21" s="6" t="inlineStr">
        <is>
          <t>IT Director</t>
        </is>
      </c>
      <c r="S21" s="6" t="inlineStr">
        <is>
          <t>Execute technical mitigation controls per baseline</t>
        </is>
      </c>
      <c r="T21" s="6" t="inlineStr">
        <is>
          <t>2026-12-15</t>
        </is>
      </c>
      <c r="U21" s="6" t="inlineStr">
        <is>
          <t>Approved by CISO</t>
        </is>
      </c>
      <c r="V21" s="6" t="inlineStr">
        <is>
          <t>Monthly</t>
        </is>
      </c>
    </row>
    <row r="22" ht="20" customHeight="1">
      <c r="A22" s="3" t="inlineStr">
        <is>
          <t>RSK-IT-019</t>
        </is>
      </c>
      <c r="B22" s="3" t="inlineStr">
        <is>
          <t>Enterprise IT Cyber Risk</t>
        </is>
      </c>
      <c r="C22" s="3" t="inlineStr">
        <is>
          <t>Insecure API Interconnection with Third-Party Logistics</t>
        </is>
      </c>
      <c r="D22" s="3" t="inlineStr">
        <is>
          <t>Cloud Services</t>
        </is>
      </c>
      <c r="E22" s="3" t="inlineStr">
        <is>
          <t>FAC-PUN</t>
        </is>
      </c>
      <c r="F22" s="4" t="n">
        <v>4</v>
      </c>
      <c r="G22" s="4" t="n">
        <v>4</v>
      </c>
      <c r="H22" s="5">
        <f>F20*G20</f>
        <v/>
      </c>
      <c r="I22" s="5">
        <f>IF(H20&gt;=17,"Critical",IF(H20&gt;=10,"High",IF(H20&gt;=5,"Medium","Low")))</f>
        <v/>
      </c>
      <c r="J22" s="3" t="inlineStr">
        <is>
          <t>API Gateway OAuth 2.0</t>
        </is>
      </c>
      <c r="K22" s="3" t="inlineStr">
        <is>
          <t>Adequate</t>
        </is>
      </c>
      <c r="L22" s="4" t="n">
        <v>2</v>
      </c>
      <c r="M22" s="4" t="n">
        <v>2</v>
      </c>
      <c r="N22" s="5">
        <f>L20*M20</f>
        <v/>
      </c>
      <c r="O22" s="5">
        <f>IF(N20&gt;=17,"Critical",IF(N20&gt;=10,"High",IF(N20&gt;=5,"Medium","Low")))</f>
        <v/>
      </c>
      <c r="P22" s="3" t="inlineStr">
        <is>
          <t>Mitigate</t>
        </is>
      </c>
      <c r="Q22" s="3" t="inlineStr">
        <is>
          <t>Perform annual API penetration testing</t>
        </is>
      </c>
      <c r="R22" s="3" t="inlineStr">
        <is>
          <t>AppSec Lead</t>
        </is>
      </c>
      <c r="S22" s="3" t="inlineStr">
        <is>
          <t>Execute technical mitigation controls per baseline</t>
        </is>
      </c>
      <c r="T22" s="3" t="inlineStr">
        <is>
          <t>2026-11-30</t>
        </is>
      </c>
      <c r="U22" s="3" t="inlineStr">
        <is>
          <t>Approved by CISO</t>
        </is>
      </c>
      <c r="V22" s="3" t="inlineStr">
        <is>
          <t>Monthly</t>
        </is>
      </c>
    </row>
    <row r="23" ht="20" customHeight="1">
      <c r="A23" s="6" t="inlineStr">
        <is>
          <t>RSK-IT-020</t>
        </is>
      </c>
      <c r="B23" s="6" t="inlineStr">
        <is>
          <t>Enterprise IT Cyber Risk</t>
        </is>
      </c>
      <c r="C23" s="6" t="inlineStr">
        <is>
          <t>Excessive Local Administrator Rights on Corporate Laptops</t>
        </is>
      </c>
      <c r="D23" s="6" t="inlineStr">
        <is>
          <t>Endpoints</t>
        </is>
      </c>
      <c r="E23" s="6" t="inlineStr">
        <is>
          <t>FAC-NAG</t>
        </is>
      </c>
      <c r="F23" s="7" t="n">
        <v>5</v>
      </c>
      <c r="G23" s="7" t="n">
        <v>3</v>
      </c>
      <c r="H23" s="8">
        <f>F21*G21</f>
        <v/>
      </c>
      <c r="I23" s="8">
        <f>IF(H21&gt;=17,"Critical",IF(H21&gt;=10,"High",IF(H21&gt;=5,"Medium","Low")))</f>
        <v/>
      </c>
      <c r="J23" s="6" t="inlineStr">
        <is>
          <t>Local admin GPO restriction</t>
        </is>
      </c>
      <c r="K23" s="6" t="inlineStr">
        <is>
          <t>Partial</t>
        </is>
      </c>
      <c r="L23" s="7" t="n">
        <v>2</v>
      </c>
      <c r="M23" s="7" t="n">
        <v>2</v>
      </c>
      <c r="N23" s="8">
        <f>L21*M21</f>
        <v/>
      </c>
      <c r="O23" s="8">
        <f>IF(N21&gt;=17,"Critical",IF(N21&gt;=10,"High",IF(N21&gt;=5,"Medium","Low")))</f>
        <v/>
      </c>
      <c r="P23" s="6" t="inlineStr">
        <is>
          <t>Mitigate</t>
        </is>
      </c>
      <c r="Q23" s="6" t="inlineStr">
        <is>
          <t>Remove local admin rights via Admin By Request</t>
        </is>
      </c>
      <c r="R23" s="6" t="inlineStr">
        <is>
          <t>Desktop Lead</t>
        </is>
      </c>
      <c r="S23" s="6" t="inlineStr">
        <is>
          <t>Execute technical mitigation controls per baseline</t>
        </is>
      </c>
      <c r="T23" s="6" t="inlineStr">
        <is>
          <t>2026-09-20</t>
        </is>
      </c>
      <c r="U23" s="6" t="inlineStr">
        <is>
          <t>Approved by CISO</t>
        </is>
      </c>
      <c r="V23" s="6" t="inlineStr">
        <is>
          <t>Monthly</t>
        </is>
      </c>
    </row>
    <row r="24" ht="20" customHeight="1">
      <c r="A24" s="3" t="inlineStr">
        <is>
          <t>RSK-OT-001</t>
        </is>
      </c>
      <c r="B24" s="3" t="inlineStr">
        <is>
          <t>Industrial OT Cyber Risk</t>
        </is>
      </c>
      <c r="C24" s="3" t="inlineStr">
        <is>
          <t>Legacy Operating System Vulnerability on CNC Machine (MS17-010)</t>
        </is>
      </c>
      <c r="D24" s="3" t="inlineStr">
        <is>
          <t>Factory Lines</t>
        </is>
      </c>
      <c r="E24" s="3" t="inlineStr">
        <is>
          <t>FAC-PUN</t>
        </is>
      </c>
      <c r="F24" s="4" t="n">
        <v>5</v>
      </c>
      <c r="G24" s="4" t="n">
        <v>5</v>
      </c>
      <c r="H24" s="5">
        <f>F22*G22</f>
        <v/>
      </c>
      <c r="I24" s="5">
        <f>IF(H22&gt;=17,"Critical",IF(H22&gt;=10,"High",IF(H22&gt;=5,"Medium","Low")))</f>
        <v/>
      </c>
      <c r="J24" s="3" t="inlineStr">
        <is>
          <t>Network VLAN separation</t>
        </is>
      </c>
      <c r="K24" s="3" t="inlineStr">
        <is>
          <t>Weak</t>
        </is>
      </c>
      <c r="L24" s="4" t="n">
        <v>3</v>
      </c>
      <c r="M24" s="4" t="n">
        <v>5</v>
      </c>
      <c r="N24" s="5">
        <f>L22*M22</f>
        <v/>
      </c>
      <c r="O24" s="5">
        <f>IF(N22&gt;=17,"Critical",IF(N22&gt;=10,"High",IF(N22&gt;=5,"Medium","Low")))</f>
        <v/>
      </c>
      <c r="P24" s="3" t="inlineStr">
        <is>
          <t>Accept (Temporary)</t>
        </is>
      </c>
      <c r="Q24" s="3" t="inlineStr">
        <is>
          <t>Industrial DMZ micro-segmentation, USB lockout, scheduled upgrade Q4 overhaul</t>
        </is>
      </c>
      <c r="R24" s="3" t="inlineStr">
        <is>
          <t>Pune Plant Manager &amp; OT Lead</t>
        </is>
      </c>
      <c r="S24" s="3" t="inlineStr">
        <is>
          <t>Execute technical mitigation controls per baseline</t>
        </is>
      </c>
      <c r="T24" s="3" t="inlineStr">
        <is>
          <t>2026-11-30</t>
        </is>
      </c>
      <c r="U24" s="3" t="inlineStr">
        <is>
          <t>Approved by Plant Mgr &amp; CISO</t>
        </is>
      </c>
      <c r="V24" s="3" t="inlineStr">
        <is>
          <t>Monthly</t>
        </is>
      </c>
    </row>
    <row r="25" ht="20" customHeight="1">
      <c r="A25" s="6" t="inlineStr">
        <is>
          <t>RSK-OT-002</t>
        </is>
      </c>
      <c r="B25" s="6" t="inlineStr">
        <is>
          <t>Industrial OT Cyber Risk</t>
        </is>
      </c>
      <c r="C25" s="6" t="inlineStr">
        <is>
          <t>Ransomware Lateral Movement from IT DMZ to Industrial OT Zone</t>
        </is>
      </c>
      <c r="D25" s="6" t="inlineStr">
        <is>
          <t>OT DMZ / Purdue L3.5</t>
        </is>
      </c>
      <c r="E25" s="6" t="inlineStr">
        <is>
          <t>FAC-NAG</t>
        </is>
      </c>
      <c r="F25" s="7" t="n">
        <v>4</v>
      </c>
      <c r="G25" s="7" t="n">
        <v>5</v>
      </c>
      <c r="H25" s="8">
        <f>F23*G23</f>
        <v/>
      </c>
      <c r="I25" s="8">
        <f>IF(H23&gt;=17,"Critical",IF(H23&gt;=10,"High",IF(H23&gt;=5,"Medium","Low")))</f>
        <v/>
      </c>
      <c r="J25" s="6" t="inlineStr">
        <is>
          <t>Industrial DMZ dual firewalls</t>
        </is>
      </c>
      <c r="K25" s="6" t="inlineStr">
        <is>
          <t>Adequate</t>
        </is>
      </c>
      <c r="L25" s="7" t="n">
        <v>2</v>
      </c>
      <c r="M25" s="7" t="n">
        <v>4</v>
      </c>
      <c r="N25" s="8">
        <f>L23*M23</f>
        <v/>
      </c>
      <c r="O25" s="8">
        <f>IF(N23&gt;=17,"Critical",IF(N23&gt;=10,"High",IF(N23&gt;=5,"Medium","Low")))</f>
        <v/>
      </c>
      <c r="P25" s="6" t="inlineStr">
        <is>
          <t>Mitigate</t>
        </is>
      </c>
      <c r="Q25" s="6" t="inlineStr">
        <is>
          <t>Deploy Nozomi Networks OT anomaly monitoring &amp; unidirectional gateway</t>
        </is>
      </c>
      <c r="R25" s="6" t="inlineStr">
        <is>
          <t>OT Security Architect</t>
        </is>
      </c>
      <c r="S25" s="6" t="inlineStr">
        <is>
          <t>Execute technical mitigation controls per baseline</t>
        </is>
      </c>
      <c r="T25" s="6" t="inlineStr">
        <is>
          <t>2026-10-15</t>
        </is>
      </c>
      <c r="U25" s="6" t="inlineStr">
        <is>
          <t>Approved by Plant Mgr &amp; CISO</t>
        </is>
      </c>
      <c r="V25" s="6" t="inlineStr">
        <is>
          <t>Monthly</t>
        </is>
      </c>
    </row>
    <row r="26" ht="20" customHeight="1">
      <c r="A26" s="3" t="inlineStr">
        <is>
          <t>RSK-OT-003</t>
        </is>
      </c>
      <c r="B26" s="3" t="inlineStr">
        <is>
          <t>Industrial OT Cyber Risk</t>
        </is>
      </c>
      <c r="C26" s="3" t="inlineStr">
        <is>
          <t>Unauthenticated Third-Party Remote Access to Factory PLCs</t>
        </is>
      </c>
      <c r="D26" s="3" t="inlineStr">
        <is>
          <t>Remote Vendor Access</t>
        </is>
      </c>
      <c r="E26" s="3" t="inlineStr">
        <is>
          <t>FAC-CHE</t>
        </is>
      </c>
      <c r="F26" s="4" t="n">
        <v>5</v>
      </c>
      <c r="G26" s="4" t="n">
        <v>5</v>
      </c>
      <c r="H26" s="5">
        <f>F24*G24</f>
        <v/>
      </c>
      <c r="I26" s="5">
        <f>IF(H24&gt;=17,"Critical",IF(H24&gt;=10,"High",IF(H24&gt;=5,"Medium","Low")))</f>
        <v/>
      </c>
      <c r="J26" s="3" t="inlineStr">
        <is>
          <t>Legacy SSL VPN</t>
        </is>
      </c>
      <c r="K26" s="3" t="inlineStr">
        <is>
          <t>Ineffective</t>
        </is>
      </c>
      <c r="L26" s="4" t="n">
        <v>2</v>
      </c>
      <c r="M26" s="4" t="n">
        <v>4</v>
      </c>
      <c r="N26" s="5">
        <f>L24*M24</f>
        <v/>
      </c>
      <c r="O26" s="5">
        <f>IF(N24&gt;=17,"Critical",IF(N24&gt;=10,"High",IF(N24&gt;=5,"Medium","Low")))</f>
        <v/>
      </c>
      <c r="P26" s="3" t="inlineStr">
        <is>
          <t>Mitigate</t>
        </is>
      </c>
      <c r="Q26" s="3" t="inlineStr">
        <is>
          <t>Enforce Claroty Secure Remote Access (SRA) with MFA &amp; session recording</t>
        </is>
      </c>
      <c r="R26" s="3" t="inlineStr">
        <is>
          <t>OT Infrastructure Lead</t>
        </is>
      </c>
      <c r="S26" s="3" t="inlineStr">
        <is>
          <t>Execute technical mitigation controls per baseline</t>
        </is>
      </c>
      <c r="T26" s="3" t="inlineStr">
        <is>
          <t>2026-09-01</t>
        </is>
      </c>
      <c r="U26" s="3" t="inlineStr">
        <is>
          <t>Approved by Plant Mgr &amp; CISO</t>
        </is>
      </c>
      <c r="V26" s="3" t="inlineStr">
        <is>
          <t>Monthly</t>
        </is>
      </c>
    </row>
    <row r="27" ht="20" customHeight="1">
      <c r="A27" s="6" t="inlineStr">
        <is>
          <t>RSK-OT-004</t>
        </is>
      </c>
      <c r="B27" s="6" t="inlineStr">
        <is>
          <t>Industrial OT Cyber Risk</t>
        </is>
      </c>
      <c r="C27" s="6" t="inlineStr">
        <is>
          <t>SCADA Server Malicious Command Injection &amp; HMI Manipulation</t>
        </is>
      </c>
      <c r="D27" s="6" t="inlineStr">
        <is>
          <t>Level 2 SCADA</t>
        </is>
      </c>
      <c r="E27" s="6" t="inlineStr">
        <is>
          <t>FAC-BLR</t>
        </is>
      </c>
      <c r="F27" s="7" t="n">
        <v>3</v>
      </c>
      <c r="G27" s="7" t="n">
        <v>5</v>
      </c>
      <c r="H27" s="8">
        <f>F25*G25</f>
        <v/>
      </c>
      <c r="I27" s="8">
        <f>IF(H25&gt;=17,"Critical",IF(H25&gt;=10,"High",IF(H25&gt;=5,"Medium","Low")))</f>
        <v/>
      </c>
      <c r="J27" s="6" t="inlineStr">
        <is>
          <t>WinCC Operator Passwords</t>
        </is>
      </c>
      <c r="K27" s="6" t="inlineStr">
        <is>
          <t>Partial</t>
        </is>
      </c>
      <c r="L27" s="7" t="n">
        <v>2</v>
      </c>
      <c r="M27" s="7" t="n">
        <v>3</v>
      </c>
      <c r="N27" s="8">
        <f>L25*M25</f>
        <v/>
      </c>
      <c r="O27" s="8">
        <f>IF(N25&gt;=17,"Critical",IF(N25&gt;=10,"High",IF(N25&gt;=5,"Medium","Low")))</f>
        <v/>
      </c>
      <c r="P27" s="6" t="inlineStr">
        <is>
          <t>Mitigate</t>
        </is>
      </c>
      <c r="Q27" s="6" t="inlineStr">
        <is>
          <t>Implement SCADA network allowlisting and signed firmware</t>
        </is>
      </c>
      <c r="R27" s="6" t="inlineStr">
        <is>
          <t>Automation Engineering Mgr</t>
        </is>
      </c>
      <c r="S27" s="6" t="inlineStr">
        <is>
          <t>Execute technical mitigation controls per baseline</t>
        </is>
      </c>
      <c r="T27" s="6" t="inlineStr">
        <is>
          <t>2026-11-01</t>
        </is>
      </c>
      <c r="U27" s="6" t="inlineStr">
        <is>
          <t>Approved by Plant Mgr &amp; CISO</t>
        </is>
      </c>
      <c r="V27" s="6" t="inlineStr">
        <is>
          <t>Monthly</t>
        </is>
      </c>
    </row>
    <row r="28" ht="20" customHeight="1">
      <c r="A28" s="3" t="inlineStr">
        <is>
          <t>RSK-OT-005</t>
        </is>
      </c>
      <c r="B28" s="3" t="inlineStr">
        <is>
          <t>Industrial OT Cyber Risk</t>
        </is>
      </c>
      <c r="C28" s="3" t="inlineStr">
        <is>
          <t>Unpatched Siemens S7-1500 PLC Firmware Vulnerability</t>
        </is>
      </c>
      <c r="D28" s="3" t="inlineStr">
        <is>
          <t>Level 1 Control</t>
        </is>
      </c>
      <c r="E28" s="3" t="inlineStr">
        <is>
          <t>FAC-AMD</t>
        </is>
      </c>
      <c r="F28" s="4" t="n">
        <v>4</v>
      </c>
      <c r="G28" s="4" t="n">
        <v>5</v>
      </c>
      <c r="H28" s="5">
        <f>F26*G26</f>
        <v/>
      </c>
      <c r="I28" s="5">
        <f>IF(H26&gt;=17,"Critical",IF(H26&gt;=10,"High",IF(H26&gt;=5,"Medium","Low")))</f>
        <v/>
      </c>
      <c r="J28" s="3" t="inlineStr">
        <is>
          <t>Physical cabinet lock</t>
        </is>
      </c>
      <c r="K28" s="3" t="inlineStr">
        <is>
          <t>Partial</t>
        </is>
      </c>
      <c r="L28" s="4" t="n">
        <v>2</v>
      </c>
      <c r="M28" s="4" t="n">
        <v>4</v>
      </c>
      <c r="N28" s="5">
        <f>L26*M26</f>
        <v/>
      </c>
      <c r="O28" s="5">
        <f>IF(N26&gt;=17,"Critical",IF(N26&gt;=10,"High",IF(N26&gt;=5,"Medium","Low")))</f>
        <v/>
      </c>
      <c r="P28" s="3" t="inlineStr">
        <is>
          <t>Mitigate</t>
        </is>
      </c>
      <c r="Q28" s="3" t="inlineStr">
        <is>
          <t>Vendor-certified firmware flash during planned maintenance window</t>
        </is>
      </c>
      <c r="R28" s="3" t="inlineStr">
        <is>
          <t>Lead Control Engineer</t>
        </is>
      </c>
      <c r="S28" s="3" t="inlineStr">
        <is>
          <t>Execute technical mitigation controls per baseline</t>
        </is>
      </c>
      <c r="T28" s="3" t="inlineStr">
        <is>
          <t>2026-10-30</t>
        </is>
      </c>
      <c r="U28" s="3" t="inlineStr">
        <is>
          <t>Approved by Plant Mgr &amp; CISO</t>
        </is>
      </c>
      <c r="V28" s="3" t="inlineStr">
        <is>
          <t>Monthly</t>
        </is>
      </c>
    </row>
    <row r="29" ht="20" customHeight="1">
      <c r="A29" s="6" t="inlineStr">
        <is>
          <t>RSK-OT-006</t>
        </is>
      </c>
      <c r="B29" s="6" t="inlineStr">
        <is>
          <t>Industrial OT Cyber Risk</t>
        </is>
      </c>
      <c r="C29" s="6" t="inlineStr">
        <is>
          <t>Unauthorized USB Device Insertion on Engineering Workstations</t>
        </is>
      </c>
      <c r="D29" s="6" t="inlineStr">
        <is>
          <t>Level 3 Site Ops</t>
        </is>
      </c>
      <c r="E29" s="6" t="inlineStr">
        <is>
          <t>FAC-HYD</t>
        </is>
      </c>
      <c r="F29" s="7" t="n">
        <v>5</v>
      </c>
      <c r="G29" s="7" t="n">
        <v>4</v>
      </c>
      <c r="H29" s="8">
        <f>F27*G27</f>
        <v/>
      </c>
      <c r="I29" s="8">
        <f>IF(H27&gt;=17,"Critical",IF(H27&gt;=10,"High",IF(H27&gt;=5,"Medium","Low")))</f>
        <v/>
      </c>
      <c r="J29" s="6" t="inlineStr">
        <is>
          <t>Policy prohibition</t>
        </is>
      </c>
      <c r="K29" s="6" t="inlineStr">
        <is>
          <t>Ineffective</t>
        </is>
      </c>
      <c r="L29" s="7" t="n">
        <v>2</v>
      </c>
      <c r="M29" s="7" t="n">
        <v>3</v>
      </c>
      <c r="N29" s="8">
        <f>L27*M27</f>
        <v/>
      </c>
      <c r="O29" s="8">
        <f>IF(N27&gt;=17,"Critical",IF(N27&gt;=10,"High",IF(N27&gt;=5,"Medium","Low")))</f>
        <v/>
      </c>
      <c r="P29" s="6" t="inlineStr">
        <is>
          <t>Mitigate</t>
        </is>
      </c>
      <c r="Q29" s="6" t="inlineStr">
        <is>
          <t>Deploy Ivanti USB Device Control &amp; hardware port blocks</t>
        </is>
      </c>
      <c r="R29" s="6" t="inlineStr">
        <is>
          <t>Plant IT Supervisor</t>
        </is>
      </c>
      <c r="S29" s="6" t="inlineStr">
        <is>
          <t>Execute technical mitigation controls per baseline</t>
        </is>
      </c>
      <c r="T29" s="6" t="inlineStr">
        <is>
          <t>2026-08-30</t>
        </is>
      </c>
      <c r="U29" s="6" t="inlineStr">
        <is>
          <t>Approved by Plant Mgr &amp; CISO</t>
        </is>
      </c>
      <c r="V29" s="6" t="inlineStr">
        <is>
          <t>Monthly</t>
        </is>
      </c>
    </row>
    <row r="30" ht="20" customHeight="1">
      <c r="A30" s="3" t="inlineStr">
        <is>
          <t>RSK-OT-007</t>
        </is>
      </c>
      <c r="B30" s="3" t="inlineStr">
        <is>
          <t>Industrial OT Cyber Risk</t>
        </is>
      </c>
      <c r="C30" s="3" t="inlineStr">
        <is>
          <t>Industrial Control System (ICS) Network Traffic Unencrypted Broadcast</t>
        </is>
      </c>
      <c r="D30" s="3" t="inlineStr">
        <is>
          <t>Level 1/2 Network</t>
        </is>
      </c>
      <c r="E30" s="3" t="inlineStr">
        <is>
          <t>FAC-PUN</t>
        </is>
      </c>
      <c r="F30" s="4" t="n">
        <v>4</v>
      </c>
      <c r="G30" s="4" t="n">
        <v>4</v>
      </c>
      <c r="H30" s="5">
        <f>F28*G28</f>
        <v/>
      </c>
      <c r="I30" s="5">
        <f>IF(H28&gt;=17,"Critical",IF(H28&gt;=10,"High",IF(H28&gt;=5,"Medium","Low")))</f>
        <v/>
      </c>
      <c r="J30" s="3" t="inlineStr">
        <is>
          <t>Switched Ethernet</t>
        </is>
      </c>
      <c r="K30" s="3" t="inlineStr">
        <is>
          <t>Weak</t>
        </is>
      </c>
      <c r="L30" s="4" t="n">
        <v>3</v>
      </c>
      <c r="M30" s="4" t="n">
        <v>3</v>
      </c>
      <c r="N30" s="5">
        <f>L28*M28</f>
        <v/>
      </c>
      <c r="O30" s="5">
        <f>IF(N28&gt;=17,"Critical",IF(N28&gt;=10,"High",IF(N28&gt;=5,"Medium","Low")))</f>
        <v/>
      </c>
      <c r="P30" s="3" t="inlineStr">
        <is>
          <t>Mitigate</t>
        </is>
      </c>
      <c r="Q30" s="3" t="inlineStr">
        <is>
          <t>Migrate Modbus TCP to encrypted CIP Security / IEC 62443 protocols</t>
        </is>
      </c>
      <c r="R30" s="3" t="inlineStr">
        <is>
          <t>OT Network Engineer</t>
        </is>
      </c>
      <c r="S30" s="3" t="inlineStr">
        <is>
          <t>Execute technical mitigation controls per baseline</t>
        </is>
      </c>
      <c r="T30" s="3" t="inlineStr">
        <is>
          <t>2026-12-31</t>
        </is>
      </c>
      <c r="U30" s="3" t="inlineStr">
        <is>
          <t>Approved by Plant Mgr &amp; CISO</t>
        </is>
      </c>
      <c r="V30" s="3" t="inlineStr">
        <is>
          <t>Monthly</t>
        </is>
      </c>
    </row>
    <row r="31" ht="20" customHeight="1">
      <c r="A31" s="6" t="inlineStr">
        <is>
          <t>RSK-OT-008</t>
        </is>
      </c>
      <c r="B31" s="6" t="inlineStr">
        <is>
          <t>Industrial OT Cyber Risk</t>
        </is>
      </c>
      <c r="C31" s="6" t="inlineStr">
        <is>
          <t>Unauthorized Physical Access to Factory Floor PLC Cabinets</t>
        </is>
      </c>
      <c r="D31" s="6" t="inlineStr">
        <is>
          <t>Factory Floor</t>
        </is>
      </c>
      <c r="E31" s="6" t="inlineStr">
        <is>
          <t>FAC-NAG</t>
        </is>
      </c>
      <c r="F31" s="7" t="n">
        <v>4</v>
      </c>
      <c r="G31" s="7" t="n">
        <v>4</v>
      </c>
      <c r="H31" s="8">
        <f>F29*G29</f>
        <v/>
      </c>
      <c r="I31" s="8">
        <f>IF(H29&gt;=17,"Critical",IF(H29&gt;=10,"High",IF(H29&gt;=5,"Medium","Low")))</f>
        <v/>
      </c>
      <c r="J31" s="6" t="inlineStr">
        <is>
          <t>Standard key locks</t>
        </is>
      </c>
      <c r="K31" s="6" t="inlineStr">
        <is>
          <t>Partial</t>
        </is>
      </c>
      <c r="L31" s="7" t="n">
        <v>2</v>
      </c>
      <c r="M31" s="7" t="n">
        <v>2</v>
      </c>
      <c r="N31" s="8">
        <f>L29*M29</f>
        <v/>
      </c>
      <c r="O31" s="8">
        <f>IF(N29&gt;=17,"Critical",IF(N29&gt;=10,"High",IF(N29&gt;=5,"Medium","Low")))</f>
        <v/>
      </c>
      <c r="P31" s="6" t="inlineStr">
        <is>
          <t>Mitigate</t>
        </is>
      </c>
      <c r="Q31" s="6" t="inlineStr">
        <is>
          <t>Install RFID electronic badge locks &amp; CCTV coverage on all cabinets</t>
        </is>
      </c>
      <c r="R31" s="6" t="inlineStr">
        <is>
          <t>Physical Security Manager</t>
        </is>
      </c>
      <c r="S31" s="6" t="inlineStr">
        <is>
          <t>Execute technical mitigation controls per baseline</t>
        </is>
      </c>
      <c r="T31" s="6" t="inlineStr">
        <is>
          <t>2026-09-15</t>
        </is>
      </c>
      <c r="U31" s="6" t="inlineStr">
        <is>
          <t>Approved by Plant Mgr &amp; CISO</t>
        </is>
      </c>
      <c r="V31" s="6" t="inlineStr">
        <is>
          <t>Monthly</t>
        </is>
      </c>
    </row>
    <row r="32" ht="20" customHeight="1">
      <c r="A32" s="3" t="inlineStr">
        <is>
          <t>RSK-OT-009</t>
        </is>
      </c>
      <c r="B32" s="3" t="inlineStr">
        <is>
          <t>Industrial OT Cyber Risk</t>
        </is>
      </c>
      <c r="C32" s="3" t="inlineStr">
        <is>
          <t>Engineering Workstation (EWS) Malware Infection &amp; Project File Drift</t>
        </is>
      </c>
      <c r="D32" s="3" t="inlineStr">
        <is>
          <t>Level 3 Site Ops</t>
        </is>
      </c>
      <c r="E32" s="3" t="inlineStr">
        <is>
          <t>FAC-CHE</t>
        </is>
      </c>
      <c r="F32" s="4" t="n">
        <v>4</v>
      </c>
      <c r="G32" s="4" t="n">
        <v>5</v>
      </c>
      <c r="H32" s="5">
        <f>F30*G30</f>
        <v/>
      </c>
      <c r="I32" s="5">
        <f>IF(H30&gt;=17,"Critical",IF(H30&gt;=10,"High",IF(H30&gt;=5,"Medium","Low")))</f>
        <v/>
      </c>
      <c r="J32" s="3" t="inlineStr">
        <is>
          <t>Symantec Endpoint Protection (Outdated)</t>
        </is>
      </c>
      <c r="K32" s="3" t="inlineStr">
        <is>
          <t>Weak</t>
        </is>
      </c>
      <c r="L32" s="4" t="n">
        <v>2</v>
      </c>
      <c r="M32" s="4" t="n">
        <v>3</v>
      </c>
      <c r="N32" s="5">
        <f>L30*M30</f>
        <v/>
      </c>
      <c r="O32" s="5">
        <f>IF(N30&gt;=17,"Critical",IF(N30&gt;=10,"High",IF(N30&gt;=5,"Medium","Low")))</f>
        <v/>
      </c>
      <c r="P32" s="3" t="inlineStr">
        <is>
          <t>Mitigate</t>
        </is>
      </c>
      <c r="Q32" s="3" t="inlineStr">
        <is>
          <t>Replace EWS endpoint security with OT-tested EDR &amp; application allowlisting</t>
        </is>
      </c>
      <c r="R32" s="3" t="inlineStr">
        <is>
          <t>OT Security Engineer</t>
        </is>
      </c>
      <c r="S32" s="3" t="inlineStr">
        <is>
          <t>Execute technical mitigation controls per baseline</t>
        </is>
      </c>
      <c r="T32" s="3" t="inlineStr">
        <is>
          <t>2026-09-30</t>
        </is>
      </c>
      <c r="U32" s="3" t="inlineStr">
        <is>
          <t>Approved by Plant Mgr &amp; CISO</t>
        </is>
      </c>
      <c r="V32" s="3" t="inlineStr">
        <is>
          <t>Monthly</t>
        </is>
      </c>
    </row>
    <row r="33" ht="20" customHeight="1">
      <c r="A33" s="6" t="inlineStr">
        <is>
          <t>RSK-OT-010</t>
        </is>
      </c>
      <c r="B33" s="6" t="inlineStr">
        <is>
          <t>Industrial OT Cyber Risk</t>
        </is>
      </c>
      <c r="C33" s="6" t="inlineStr">
        <is>
          <t>Supply Chain Compromise of Industrial Controller Firmware Update</t>
        </is>
      </c>
      <c r="D33" s="6" t="inlineStr">
        <is>
          <t>Vendor Risk</t>
        </is>
      </c>
      <c r="E33" s="6" t="inlineStr">
        <is>
          <t>FAC-BLR</t>
        </is>
      </c>
      <c r="F33" s="7" t="n">
        <v>3</v>
      </c>
      <c r="G33" s="7" t="n">
        <v>5</v>
      </c>
      <c r="H33" s="8">
        <f>F31*G31</f>
        <v/>
      </c>
      <c r="I33" s="8">
        <f>IF(H31&gt;=17,"Critical",IF(H31&gt;=10,"High",IF(H31&gt;=5,"Medium","Low")))</f>
        <v/>
      </c>
      <c r="J33" s="6" t="inlineStr">
        <is>
          <t>Vendor checksum validation</t>
        </is>
      </c>
      <c r="K33" s="6" t="inlineStr">
        <is>
          <t>Partial</t>
        </is>
      </c>
      <c r="L33" s="7" t="n">
        <v>2</v>
      </c>
      <c r="M33" s="7" t="n">
        <v>3</v>
      </c>
      <c r="N33" s="8">
        <f>L31*M31</f>
        <v/>
      </c>
      <c r="O33" s="8">
        <f>IF(N31&gt;=17,"Critical",IF(N31&gt;=10,"High",IF(N31&gt;=5,"Medium","Low")))</f>
        <v/>
      </c>
      <c r="P33" s="6" t="inlineStr">
        <is>
          <t>Mitigate</t>
        </is>
      </c>
      <c r="Q33" s="6" t="inlineStr">
        <is>
          <t>Implement offline staging lab for hashing &amp; testing all OT patches</t>
        </is>
      </c>
      <c r="R33" s="6" t="inlineStr">
        <is>
          <t>Automation Quality Mgr</t>
        </is>
      </c>
      <c r="S33" s="6" t="inlineStr">
        <is>
          <t>Execute technical mitigation controls per baseline</t>
        </is>
      </c>
      <c r="T33" s="6" t="inlineStr">
        <is>
          <t>2026-11-15</t>
        </is>
      </c>
      <c r="U33" s="6" t="inlineStr">
        <is>
          <t>Approved by Plant Mgr &amp; CISO</t>
        </is>
      </c>
      <c r="V33" s="6" t="inlineStr">
        <is>
          <t>Monthly</t>
        </is>
      </c>
    </row>
    <row r="34" ht="20" customHeight="1">
      <c r="A34" s="3" t="inlineStr">
        <is>
          <t>RSK-OT-011</t>
        </is>
      </c>
      <c r="B34" s="3" t="inlineStr">
        <is>
          <t>Industrial OT Cyber Risk</t>
        </is>
      </c>
      <c r="C34" s="3" t="inlineStr">
        <is>
          <t>Industrial IoT Sensor Gateway Cyber Exploitation</t>
        </is>
      </c>
      <c r="D34" s="3" t="inlineStr">
        <is>
          <t>IIoT Network</t>
        </is>
      </c>
      <c r="E34" s="3" t="inlineStr">
        <is>
          <t>FAC-AMD</t>
        </is>
      </c>
      <c r="F34" s="4" t="n">
        <v>4</v>
      </c>
      <c r="G34" s="4" t="n">
        <v>4</v>
      </c>
      <c r="H34" s="5">
        <f>F32*G32</f>
        <v/>
      </c>
      <c r="I34" s="5">
        <f>IF(H32&gt;=17,"Critical",IF(H32&gt;=10,"High",IF(H32&gt;=5,"Medium","Low")))</f>
        <v/>
      </c>
      <c r="J34" s="3" t="inlineStr">
        <is>
          <t>WPA2 Enterprise Wi-Fi</t>
        </is>
      </c>
      <c r="K34" s="3" t="inlineStr">
        <is>
          <t>Partial</t>
        </is>
      </c>
      <c r="L34" s="4" t="n">
        <v>2</v>
      </c>
      <c r="M34" s="4" t="n">
        <v>2</v>
      </c>
      <c r="N34" s="5">
        <f>L32*M32</f>
        <v/>
      </c>
      <c r="O34" s="5">
        <f>IF(N32&gt;=17,"Critical",IF(N32&gt;=10,"High",IF(N32&gt;=5,"Medium","Low")))</f>
        <v/>
      </c>
      <c r="P34" s="3" t="inlineStr">
        <is>
          <t>Mitigate</t>
        </is>
      </c>
      <c r="Q34" s="3" t="inlineStr">
        <is>
          <t>Isolate IIoT gateways into dedicated VLAN with zero route to SCADA</t>
        </is>
      </c>
      <c r="R34" s="3" t="inlineStr">
        <is>
          <t>IIoT Project Lead</t>
        </is>
      </c>
      <c r="S34" s="3" t="inlineStr">
        <is>
          <t>Execute technical mitigation controls per baseline</t>
        </is>
      </c>
      <c r="T34" s="3" t="inlineStr">
        <is>
          <t>2026-10-15</t>
        </is>
      </c>
      <c r="U34" s="3" t="inlineStr">
        <is>
          <t>Approved by Plant Mgr &amp; CISO</t>
        </is>
      </c>
      <c r="V34" s="3" t="inlineStr">
        <is>
          <t>Monthly</t>
        </is>
      </c>
    </row>
    <row r="35" ht="20" customHeight="1">
      <c r="A35" s="6" t="inlineStr">
        <is>
          <t>RSK-OT-012</t>
        </is>
      </c>
      <c r="B35" s="6" t="inlineStr">
        <is>
          <t>Industrial OT Cyber Risk</t>
        </is>
      </c>
      <c r="C35" s="6" t="inlineStr">
        <is>
          <t>Lack of OT Security Event Log Centralization &amp; Monitoring</t>
        </is>
      </c>
      <c r="D35" s="6" t="inlineStr">
        <is>
          <t>OT Monitoring</t>
        </is>
      </c>
      <c r="E35" s="6" t="inlineStr">
        <is>
          <t>FAC-HYD</t>
        </is>
      </c>
      <c r="F35" s="7" t="n">
        <v>4</v>
      </c>
      <c r="G35" s="7" t="n">
        <v>4</v>
      </c>
      <c r="H35" s="8">
        <f>F33*G33</f>
        <v/>
      </c>
      <c r="I35" s="8">
        <f>IF(H33&gt;=17,"Critical",IF(H33&gt;=10,"High",IF(H33&gt;=5,"Medium","Low")))</f>
        <v/>
      </c>
      <c r="J35" s="6" t="inlineStr">
        <is>
          <t>Local Windows Event Logs</t>
        </is>
      </c>
      <c r="K35" s="6" t="inlineStr">
        <is>
          <t>Ineffective</t>
        </is>
      </c>
      <c r="L35" s="7" t="n">
        <v>2</v>
      </c>
      <c r="M35" s="7" t="n">
        <v>2</v>
      </c>
      <c r="N35" s="8">
        <f>L33*M33</f>
        <v/>
      </c>
      <c r="O35" s="8">
        <f>IF(N33&gt;=17,"Critical",IF(N33&gt;=10,"High",IF(N33&gt;=5,"Medium","Low")))</f>
        <v/>
      </c>
      <c r="P35" s="6" t="inlineStr">
        <is>
          <t>Mitigate</t>
        </is>
      </c>
      <c r="Q35" s="6" t="inlineStr">
        <is>
          <t>Forward Moxa switch &amp; WinCC logs to Splunk OT SIEM</t>
        </is>
      </c>
      <c r="R35" s="6" t="inlineStr">
        <is>
          <t>SOC Manager</t>
        </is>
      </c>
      <c r="S35" s="6" t="inlineStr">
        <is>
          <t>Execute technical mitigation controls per baseline</t>
        </is>
      </c>
      <c r="T35" s="6" t="inlineStr">
        <is>
          <t>2026-09-30</t>
        </is>
      </c>
      <c r="U35" s="6" t="inlineStr">
        <is>
          <t>Approved by Plant Mgr &amp; CISO</t>
        </is>
      </c>
      <c r="V35" s="6" t="inlineStr">
        <is>
          <t>Monthly</t>
        </is>
      </c>
    </row>
    <row r="36" ht="20" customHeight="1">
      <c r="A36" s="3" t="inlineStr">
        <is>
          <t>RSK-OT-013</t>
        </is>
      </c>
      <c r="B36" s="3" t="inlineStr">
        <is>
          <t>Industrial OT Cyber Risk</t>
        </is>
      </c>
      <c r="C36" s="3" t="inlineStr">
        <is>
          <t>Single Point of Failure on Factory Perimeter OT Firewall</t>
        </is>
      </c>
      <c r="D36" s="3" t="inlineStr">
        <is>
          <t>OT Network</t>
        </is>
      </c>
      <c r="E36" s="3" t="inlineStr">
        <is>
          <t>FAC-PUN</t>
        </is>
      </c>
      <c r="F36" s="4" t="n">
        <v>3</v>
      </c>
      <c r="G36" s="4" t="n">
        <v>5</v>
      </c>
      <c r="H36" s="5">
        <f>F34*G34</f>
        <v/>
      </c>
      <c r="I36" s="5">
        <f>IF(H34&gt;=17,"Critical",IF(H34&gt;=10,"High",IF(H34&gt;=5,"Medium","Low")))</f>
        <v/>
      </c>
      <c r="J36" s="3" t="inlineStr">
        <is>
          <t>Standalone FortiGate Rugged</t>
        </is>
      </c>
      <c r="K36" s="3" t="inlineStr">
        <is>
          <t>Adequate</t>
        </is>
      </c>
      <c r="L36" s="4" t="n">
        <v>1</v>
      </c>
      <c r="M36" s="4" t="n">
        <v>4</v>
      </c>
      <c r="N36" s="5">
        <f>L34*M34</f>
        <v/>
      </c>
      <c r="O36" s="5">
        <f>IF(N34&gt;=17,"Critical",IF(N34&gt;=10,"High",IF(N34&gt;=5,"Medium","Low")))</f>
        <v/>
      </c>
      <c r="P36" s="3" t="inlineStr">
        <is>
          <t>Mitigate</t>
        </is>
      </c>
      <c r="Q36" s="3" t="inlineStr">
        <is>
          <t>Deploy High-Availability (HA) dual firewall cluster</t>
        </is>
      </c>
      <c r="R36" s="3" t="inlineStr">
        <is>
          <t>Network Operations Mgr</t>
        </is>
      </c>
      <c r="S36" s="3" t="inlineStr">
        <is>
          <t>Execute technical mitigation controls per baseline</t>
        </is>
      </c>
      <c r="T36" s="3" t="inlineStr">
        <is>
          <t>2026-08-25</t>
        </is>
      </c>
      <c r="U36" s="3" t="inlineStr">
        <is>
          <t>Approved by Plant Mgr &amp; CISO</t>
        </is>
      </c>
      <c r="V36" s="3" t="inlineStr">
        <is>
          <t>Monthly</t>
        </is>
      </c>
    </row>
    <row r="37" ht="20" customHeight="1">
      <c r="A37" s="6" t="inlineStr">
        <is>
          <t>RSK-OT-014</t>
        </is>
      </c>
      <c r="B37" s="6" t="inlineStr">
        <is>
          <t>Industrial OT Cyber Risk</t>
        </is>
      </c>
      <c r="C37" s="6" t="inlineStr">
        <is>
          <t>Uncertified Patch Causing Unexpected PLC Crash &amp; Line Shutdown</t>
        </is>
      </c>
      <c r="D37" s="6" t="inlineStr">
        <is>
          <t>Patch Management</t>
        </is>
      </c>
      <c r="E37" s="6" t="inlineStr">
        <is>
          <t>FAC-NAG</t>
        </is>
      </c>
      <c r="F37" s="7" t="n">
        <v>4</v>
      </c>
      <c r="G37" s="7" t="n">
        <v>5</v>
      </c>
      <c r="H37" s="8">
        <f>F35*G35</f>
        <v/>
      </c>
      <c r="I37" s="8">
        <f>IF(H35&gt;=17,"Critical",IF(H35&gt;=10,"High",IF(H35&gt;=5,"Medium","Low")))</f>
        <v/>
      </c>
      <c r="J37" s="6" t="inlineStr">
        <is>
          <t>Manual engineer discretion</t>
        </is>
      </c>
      <c r="K37" s="6" t="inlineStr">
        <is>
          <t>Weak</t>
        </is>
      </c>
      <c r="L37" s="7" t="n">
        <v>2</v>
      </c>
      <c r="M37" s="7" t="n">
        <v>3</v>
      </c>
      <c r="N37" s="8">
        <f>L35*M35</f>
        <v/>
      </c>
      <c r="O37" s="8">
        <f>IF(N35&gt;=17,"Critical",IF(N35&gt;=10,"High",IF(N35&gt;=5,"Medium","Low")))</f>
        <v/>
      </c>
      <c r="P37" s="6" t="inlineStr">
        <is>
          <t>Mitigate</t>
        </is>
      </c>
      <c r="Q37" s="6" t="inlineStr">
        <is>
          <t>Establish formal OT Change Advisory Board (CAB) &amp; vendor pre-certification</t>
        </is>
      </c>
      <c r="R37" s="6" t="inlineStr">
        <is>
          <t>Plant Operations VP</t>
        </is>
      </c>
      <c r="S37" s="6" t="inlineStr">
        <is>
          <t>Execute technical mitigation controls per baseline</t>
        </is>
      </c>
      <c r="T37" s="6" t="inlineStr">
        <is>
          <t>2026-09-10</t>
        </is>
      </c>
      <c r="U37" s="6" t="inlineStr">
        <is>
          <t>Approved by Plant Mgr &amp; CISO</t>
        </is>
      </c>
      <c r="V37" s="6" t="inlineStr">
        <is>
          <t>Monthly</t>
        </is>
      </c>
    </row>
    <row r="38" ht="20" customHeight="1">
      <c r="A38" s="3" t="inlineStr">
        <is>
          <t>RSK-OT-015</t>
        </is>
      </c>
      <c r="B38" s="3" t="inlineStr">
        <is>
          <t>Industrial OT Cyber Risk</t>
        </is>
      </c>
      <c r="C38" s="3" t="inlineStr">
        <is>
          <t>Shadow OT Network Switch Introduced by Maintenance Technicians</t>
        </is>
      </c>
      <c r="D38" s="3" t="inlineStr">
        <is>
          <t>Factory Floor</t>
        </is>
      </c>
      <c r="E38" s="3" t="inlineStr">
        <is>
          <t>FAC-CHE</t>
        </is>
      </c>
      <c r="F38" s="4" t="n">
        <v>4</v>
      </c>
      <c r="G38" s="4" t="n">
        <v>3</v>
      </c>
      <c r="H38" s="5">
        <f>F36*G36</f>
        <v/>
      </c>
      <c r="I38" s="5">
        <f>IF(H36&gt;=17,"Critical",IF(H36&gt;=10,"High",IF(H36&gt;=5,"Medium","Low")))</f>
        <v/>
      </c>
      <c r="J38" s="3" t="inlineStr">
        <is>
          <t>None</t>
        </is>
      </c>
      <c r="K38" s="3" t="inlineStr">
        <is>
          <t>Ineffective</t>
        </is>
      </c>
      <c r="L38" s="4" t="n">
        <v>2</v>
      </c>
      <c r="M38" s="4" t="n">
        <v>2</v>
      </c>
      <c r="N38" s="5">
        <f>L36*M36</f>
        <v/>
      </c>
      <c r="O38" s="5">
        <f>IF(N36&gt;=17,"Critical",IF(N36&gt;=10,"High",IF(N36&gt;=5,"Medium","Low")))</f>
        <v/>
      </c>
      <c r="P38" s="3" t="inlineStr">
        <is>
          <t>Mitigate</t>
        </is>
      </c>
      <c r="Q38" s="3" t="inlineStr">
        <is>
          <t>Implement 802.1X Port Security on all Moxa industrial switches</t>
        </is>
      </c>
      <c r="R38" s="3" t="inlineStr">
        <is>
          <t>OT Network Admin</t>
        </is>
      </c>
      <c r="S38" s="3" t="inlineStr">
        <is>
          <t>Execute technical mitigation controls per baseline</t>
        </is>
      </c>
      <c r="T38" s="3" t="inlineStr">
        <is>
          <t>2026-10-01</t>
        </is>
      </c>
      <c r="U38" s="3" t="inlineStr">
        <is>
          <t>Approved by Plant Mgr &amp; CISO</t>
        </is>
      </c>
      <c r="V38" s="3" t="inlineStr">
        <is>
          <t>Monthly</t>
        </is>
      </c>
    </row>
    <row r="39" ht="20" customHeight="1">
      <c r="A39" s="6" t="inlineStr">
        <is>
          <t>RSK-OT-016</t>
        </is>
      </c>
      <c r="B39" s="6" t="inlineStr">
        <is>
          <t>Industrial OT Cyber Risk</t>
        </is>
      </c>
      <c r="C39" s="6" t="inlineStr">
        <is>
          <t>Lack of Tested Offline Backups for PLC Ladder Logic</t>
        </is>
      </c>
      <c r="D39" s="6" t="inlineStr">
        <is>
          <t>Level 1 Control</t>
        </is>
      </c>
      <c r="E39" s="6" t="inlineStr">
        <is>
          <t>FAC-BLR</t>
        </is>
      </c>
      <c r="F39" s="7" t="n">
        <v>4</v>
      </c>
      <c r="G39" s="7" t="n">
        <v>5</v>
      </c>
      <c r="H39" s="8">
        <f>F37*G37</f>
        <v/>
      </c>
      <c r="I39" s="8">
        <f>IF(H37&gt;=17,"Critical",IF(H37&gt;=10,"High",IF(H37&gt;=5,"Medium","Low")))</f>
        <v/>
      </c>
      <c r="J39" s="6" t="inlineStr">
        <is>
          <t>Individual engineer laptops</t>
        </is>
      </c>
      <c r="K39" s="6" t="inlineStr">
        <is>
          <t>Weak</t>
        </is>
      </c>
      <c r="L39" s="7" t="n">
        <v>2</v>
      </c>
      <c r="M39" s="7" t="n">
        <v>3</v>
      </c>
      <c r="N39" s="8">
        <f>L37*M37</f>
        <v/>
      </c>
      <c r="O39" s="8">
        <f>IF(N37&gt;=17,"Critical",IF(N37&gt;=10,"High",IF(N37&gt;=5,"Medium","Low")))</f>
        <v/>
      </c>
      <c r="P39" s="6" t="inlineStr">
        <is>
          <t>Mitigate</t>
        </is>
      </c>
      <c r="Q39" s="6" t="inlineStr">
        <is>
          <t>Deploy MDT AutoSave centralized automated PLC backup repository</t>
        </is>
      </c>
      <c r="R39" s="6" t="inlineStr">
        <is>
          <t>Automation Systems Lead</t>
        </is>
      </c>
      <c r="S39" s="6" t="inlineStr">
        <is>
          <t>Execute technical mitigation controls per baseline</t>
        </is>
      </c>
      <c r="T39" s="6" t="inlineStr">
        <is>
          <t>2026-08-31</t>
        </is>
      </c>
      <c r="U39" s="6" t="inlineStr">
        <is>
          <t>Approved by Plant Mgr &amp; CISO</t>
        </is>
      </c>
      <c r="V39" s="6" t="inlineStr">
        <is>
          <t>Monthly</t>
        </is>
      </c>
    </row>
    <row r="40" ht="20" customHeight="1">
      <c r="A40" s="3" t="inlineStr">
        <is>
          <t>RSK-OT-017</t>
        </is>
      </c>
      <c r="B40" s="3" t="inlineStr">
        <is>
          <t>Industrial OT Cyber Risk</t>
        </is>
      </c>
      <c r="C40" s="3" t="inlineStr">
        <is>
          <t>Hydraulic Press HMI Denial of Service via SYN Flood</t>
        </is>
      </c>
      <c r="D40" s="3" t="inlineStr">
        <is>
          <t>Level 2 Control</t>
        </is>
      </c>
      <c r="E40" s="3" t="inlineStr">
        <is>
          <t>FAC-AMD</t>
        </is>
      </c>
      <c r="F40" s="4" t="n">
        <v>3</v>
      </c>
      <c r="G40" s="4" t="n">
        <v>4</v>
      </c>
      <c r="H40" s="5">
        <f>F38*G38</f>
        <v/>
      </c>
      <c r="I40" s="5">
        <f>IF(H38&gt;=17,"Critical",IF(H38&gt;=10,"High",IF(H38&gt;=5,"Medium","Low")))</f>
        <v/>
      </c>
      <c r="J40" s="3" t="inlineStr">
        <is>
          <t>Default TCP stack</t>
        </is>
      </c>
      <c r="K40" s="3" t="inlineStr">
        <is>
          <t>Weak</t>
        </is>
      </c>
      <c r="L40" s="4" t="n">
        <v>1</v>
      </c>
      <c r="M40" s="4" t="n">
        <v>3</v>
      </c>
      <c r="N40" s="5">
        <f>L38*M38</f>
        <v/>
      </c>
      <c r="O40" s="5">
        <f>IF(N38&gt;=17,"Critical",IF(N38&gt;=10,"High",IF(N38&gt;=5,"Medium","Low")))</f>
        <v/>
      </c>
      <c r="P40" s="3" t="inlineStr">
        <is>
          <t>Mitigate</t>
        </is>
      </c>
      <c r="Q40" s="3" t="inlineStr">
        <is>
          <t>Deploy industrial rate-limiting firewalls at line perimeter</t>
        </is>
      </c>
      <c r="R40" s="3" t="inlineStr">
        <is>
          <t>Control Systems Eng</t>
        </is>
      </c>
      <c r="S40" s="3" t="inlineStr">
        <is>
          <t>Execute technical mitigation controls per baseline</t>
        </is>
      </c>
      <c r="T40" s="3" t="inlineStr">
        <is>
          <t>2026-11-20</t>
        </is>
      </c>
      <c r="U40" s="3" t="inlineStr">
        <is>
          <t>Approved by Plant Mgr &amp; CISO</t>
        </is>
      </c>
      <c r="V40" s="3" t="inlineStr">
        <is>
          <t>Monthly</t>
        </is>
      </c>
    </row>
    <row r="41" ht="20" customHeight="1">
      <c r="A41" s="6" t="inlineStr">
        <is>
          <t>RSK-OT-018</t>
        </is>
      </c>
      <c r="B41" s="6" t="inlineStr">
        <is>
          <t>Industrial OT Cyber Risk</t>
        </is>
      </c>
      <c r="C41" s="6" t="inlineStr">
        <is>
          <t>Vendor Remote Maintenance Access Window Left Open Indefinitely</t>
        </is>
      </c>
      <c r="D41" s="6" t="inlineStr">
        <is>
          <t>Remote Access</t>
        </is>
      </c>
      <c r="E41" s="6" t="inlineStr">
        <is>
          <t>FAC-HYD</t>
        </is>
      </c>
      <c r="F41" s="7" t="n">
        <v>5</v>
      </c>
      <c r="G41" s="7" t="n">
        <v>4</v>
      </c>
      <c r="H41" s="8">
        <f>F39*G39</f>
        <v/>
      </c>
      <c r="I41" s="8">
        <f>IF(H39&gt;=17,"Critical",IF(H39&gt;=10,"High",IF(H39&gt;=5,"Medium","Low")))</f>
        <v/>
      </c>
      <c r="J41" s="6" t="inlineStr">
        <is>
          <t>Manual email request</t>
        </is>
      </c>
      <c r="K41" s="6" t="inlineStr">
        <is>
          <t>Ineffective</t>
        </is>
      </c>
      <c r="L41" s="7" t="n">
        <v>2</v>
      </c>
      <c r="M41" s="7" t="n">
        <v>2</v>
      </c>
      <c r="N41" s="8">
        <f>L39*M39</f>
        <v/>
      </c>
      <c r="O41" s="8">
        <f>IF(N39&gt;=17,"Critical",IF(N39&gt;=10,"High",IF(N39&gt;=5,"Medium","Low")))</f>
        <v/>
      </c>
      <c r="P41" s="6" t="inlineStr">
        <is>
          <t>Mitigate</t>
        </is>
      </c>
      <c r="Q41" s="6" t="inlineStr">
        <is>
          <t>Automate 4-hour time-bound access expiry in PAM portal</t>
        </is>
      </c>
      <c r="R41" s="6" t="inlineStr">
        <is>
          <t>Third-Party Risk Lead</t>
        </is>
      </c>
      <c r="S41" s="6" t="inlineStr">
        <is>
          <t>Execute technical mitigation controls per baseline</t>
        </is>
      </c>
      <c r="T41" s="6" t="inlineStr">
        <is>
          <t>2026-08-15</t>
        </is>
      </c>
      <c r="U41" s="6" t="inlineStr">
        <is>
          <t>Approved by Plant Mgr &amp; CISO</t>
        </is>
      </c>
      <c r="V41" s="6" t="inlineStr">
        <is>
          <t>Monthly</t>
        </is>
      </c>
    </row>
    <row r="42" ht="20" customHeight="1">
      <c r="A42" s="3" t="inlineStr">
        <is>
          <t>RSK-OT-019</t>
        </is>
      </c>
      <c r="B42" s="3" t="inlineStr">
        <is>
          <t>Industrial OT Cyber Risk</t>
        </is>
      </c>
      <c r="C42" s="3" t="inlineStr">
        <is>
          <t>Inadequate OT Incident Response Procedure for Plant Operators</t>
        </is>
      </c>
      <c r="D42" s="3" t="inlineStr">
        <is>
          <t>Incident Mgmt</t>
        </is>
      </c>
      <c r="E42" s="3" t="inlineStr">
        <is>
          <t>FAC-PUN</t>
        </is>
      </c>
      <c r="F42" s="4" t="n">
        <v>4</v>
      </c>
      <c r="G42" s="4" t="n">
        <v>5</v>
      </c>
      <c r="H42" s="5">
        <f>F40*G40</f>
        <v/>
      </c>
      <c r="I42" s="5">
        <f>IF(H40&gt;=17,"Critical",IF(H40&gt;=10,"High",IF(H40&gt;=5,"Medium","Low")))</f>
        <v/>
      </c>
      <c r="J42" s="3" t="inlineStr">
        <is>
          <t>Corporate IR Plan</t>
        </is>
      </c>
      <c r="K42" s="3" t="inlineStr">
        <is>
          <t>Ineffective</t>
        </is>
      </c>
      <c r="L42" s="4" t="n">
        <v>2</v>
      </c>
      <c r="M42" s="4" t="n">
        <v>3</v>
      </c>
      <c r="N42" s="5">
        <f>L40*M40</f>
        <v/>
      </c>
      <c r="O42" s="5">
        <f>IF(N40&gt;=17,"Critical",IF(N40&gt;=10,"High",IF(N40&gt;=5,"Medium","Low")))</f>
        <v/>
      </c>
      <c r="P42" s="3" t="inlineStr">
        <is>
          <t>Mitigate</t>
        </is>
      </c>
      <c r="Q42" s="3" t="inlineStr">
        <is>
          <t>Develop plant-specific OT IR Playbooks &amp; conduct tabletop exercises</t>
        </is>
      </c>
      <c r="R42" s="3" t="inlineStr">
        <is>
          <t>Cyber IR Lead</t>
        </is>
      </c>
      <c r="S42" s="3" t="inlineStr">
        <is>
          <t>Execute technical mitigation controls per baseline</t>
        </is>
      </c>
      <c r="T42" s="3" t="inlineStr">
        <is>
          <t>2026-10-31</t>
        </is>
      </c>
      <c r="U42" s="3" t="inlineStr">
        <is>
          <t>Approved by Plant Mgr &amp; CISO</t>
        </is>
      </c>
      <c r="V42" s="3" t="inlineStr">
        <is>
          <t>Monthly</t>
        </is>
      </c>
    </row>
    <row r="43" ht="20" customHeight="1">
      <c r="A43" s="6" t="inlineStr">
        <is>
          <t>RSK-OT-020</t>
        </is>
      </c>
      <c r="B43" s="6" t="inlineStr">
        <is>
          <t>Industrial OT Cyber Risk</t>
        </is>
      </c>
      <c r="C43" s="6" t="inlineStr">
        <is>
          <t>Environmental Overheating Failure in Factory Server Room</t>
        </is>
      </c>
      <c r="D43" s="6" t="inlineStr">
        <is>
          <t>Physical / OT</t>
        </is>
      </c>
      <c r="E43" s="6" t="inlineStr">
        <is>
          <t>FAC-NAG</t>
        </is>
      </c>
      <c r="F43" s="7" t="n">
        <v>3</v>
      </c>
      <c r="G43" s="7" t="n">
        <v>4</v>
      </c>
      <c r="H43" s="8">
        <f>F41*G41</f>
        <v/>
      </c>
      <c r="I43" s="8">
        <f>IF(H41&gt;=17,"Critical",IF(H41&gt;=10,"High",IF(H41&gt;=5,"Medium","Low")))</f>
        <v/>
      </c>
      <c r="J43" s="6" t="inlineStr">
        <is>
          <t>Single HVAC unit</t>
        </is>
      </c>
      <c r="K43" s="6" t="inlineStr">
        <is>
          <t>Partial</t>
        </is>
      </c>
      <c r="L43" s="7" t="n">
        <v>1</v>
      </c>
      <c r="M43" s="7" t="n">
        <v>3</v>
      </c>
      <c r="N43" s="8">
        <f>L41*M41</f>
        <v/>
      </c>
      <c r="O43" s="8">
        <f>IF(N41&gt;=17,"Critical",IF(N41&gt;=10,"High",IF(N41&gt;=5,"Medium","Low")))</f>
        <v/>
      </c>
      <c r="P43" s="6" t="inlineStr">
        <is>
          <t>Mitigate</t>
        </is>
      </c>
      <c r="Q43" s="6" t="inlineStr">
        <is>
          <t>Install redundant Precision AC and IoT temperature alert sensors</t>
        </is>
      </c>
      <c r="R43" s="6" t="inlineStr">
        <is>
          <t>Facilities Director</t>
        </is>
      </c>
      <c r="S43" s="6" t="inlineStr">
        <is>
          <t>Execute technical mitigation controls per baseline</t>
        </is>
      </c>
      <c r="T43" s="6" t="inlineStr">
        <is>
          <t>2026-09-05</t>
        </is>
      </c>
      <c r="U43" s="6" t="inlineStr">
        <is>
          <t>Approved by Plant Mgr &amp; CISO</t>
        </is>
      </c>
      <c r="V43" s="6" t="inlineStr">
        <is>
          <t>Monthly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2026-08-08T17:12:08Z</dcterms:created>
  <dcterms:modified xmlns:dcterms="http://purl.org/dc/terms/" xmlns:xsi="http://www.w3.org/2001/XMLSchema-instance" xsi:type="dcterms:W3CDTF">2026-08-08T17:12:08Z</dcterms:modified>
</cp:coreProperties>
</file>